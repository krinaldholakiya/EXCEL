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302DFB79-53F5-4FBE-82D6-E9FE661852FC}" xr6:coauthVersionLast="47" xr6:coauthVersionMax="47" xr10:uidLastSave="{00000000-0000-0000-0000-000000000000}"/>
  <bookViews>
    <workbookView xWindow="-108" yWindow="-108" windowWidth="23256" windowHeight="13896" activeTab="2" xr2:uid="{6A45FC5E-D2C9-492A-B29C-C49E734E5387}"/>
  </bookViews>
  <sheets>
    <sheet name="STUDENTS_GRADE" sheetId="1" r:id="rId1"/>
    <sheet name="SALES_DATA" sheetId="2" r:id="rId2"/>
    <sheet name="EMPLOYEE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N2" i="3"/>
  <c r="N3" i="3"/>
  <c r="K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Y2" i="2"/>
  <c r="S2" i="2"/>
  <c r="O3" i="2"/>
  <c r="P2" i="1" a="1"/>
  <c r="P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B3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O2" i="1"/>
  <c r="B24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H3" i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H20" i="1"/>
  <c r="H21" i="1"/>
  <c r="I21" i="1" s="1"/>
  <c r="H2" i="1"/>
  <c r="I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V2" i="2"/>
  <c r="N2" i="1" l="1"/>
  <c r="I20" i="1"/>
  <c r="I19" i="1"/>
  <c r="I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<sst xmlns="http://schemas.openxmlformats.org/spreadsheetml/2006/main" count="189" uniqueCount="126">
  <si>
    <t>Student ID</t>
  </si>
  <si>
    <t>Name</t>
  </si>
  <si>
    <t>Math</t>
  </si>
  <si>
    <t>Science</t>
  </si>
  <si>
    <t>English</t>
  </si>
  <si>
    <t>Enrollment Date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</si>
  <si>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</si>
  <si>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</si>
  <si>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</si>
  <si>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</si>
  <si>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</si>
  <si>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</si>
  <si>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</si>
  <si>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</si>
  <si>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</si>
  <si>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</si>
  <si>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</si>
  <si>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</si>
  <si>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</si>
  <si>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</si>
  <si>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</si>
  <si>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</si>
  <si>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</si>
  <si>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</si>
  <si>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</si>
  <si>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</si>
  <si>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</si>
  <si>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</si>
  <si>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</si>
  <si>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</si>
  <si>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</si>
  <si>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</si>
  <si>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</si>
  <si>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</si>
  <si>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</si>
  <si>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</si>
  <si>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</si>
  <si>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</si>
  <si>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</si>
  <si>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</si>
  <si>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</si>
  <si>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</si>
  <si>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</si>
  <si>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</si>
  <si>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</si>
  <si>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</si>
  <si>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</si>
  <si>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</si>
  <si>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</si>
  <si>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</si>
  <si>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</si>
  <si>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</si>
  <si>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</si>
  <si>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</si>
  <si>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</si>
  <si>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</si>
  <si>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</si>
  <si>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</si>
  <si>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</si>
  <si>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</si>
  <si>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</si>
  <si>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</si>
  <si>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</si>
  <si>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</si>
  <si>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</si>
  <si>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</si>
  <si>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</si>
  <si>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</si>
  <si>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</si>
  <si>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Total</t>
  </si>
  <si>
    <t>Average</t>
  </si>
  <si>
    <t>Grade</t>
  </si>
  <si>
    <t>80+ In Math &amp; Science</t>
  </si>
  <si>
    <t>Above 50+ in Maths</t>
  </si>
  <si>
    <t>Discount%</t>
  </si>
  <si>
    <t>Discount Amount</t>
  </si>
  <si>
    <t>Net Amount</t>
  </si>
  <si>
    <t>Amount 30000 Above And Region North</t>
  </si>
  <si>
    <t>Bonus</t>
  </si>
  <si>
    <t>Average of Student Score above 60</t>
  </si>
  <si>
    <t>Enter Student ID</t>
  </si>
  <si>
    <t>Bonus Eligible</t>
  </si>
  <si>
    <t>PRODUCT</t>
  </si>
  <si>
    <t>UNIT PRICE</t>
  </si>
  <si>
    <t>product name</t>
  </si>
  <si>
    <t xml:space="preserve">       </t>
  </si>
  <si>
    <t>MOUSE</t>
  </si>
  <si>
    <t>krinal dholakiya</t>
  </si>
  <si>
    <t>pranshu patel</t>
  </si>
  <si>
    <t>divyesh jadav</t>
  </si>
  <si>
    <t>neev shankar</t>
  </si>
  <si>
    <t>yashvi jasani</t>
  </si>
  <si>
    <t>tejas varma</t>
  </si>
  <si>
    <t>priya shihora</t>
  </si>
  <si>
    <t>ved dhameliya</t>
  </si>
  <si>
    <t>asvi ambaliya</t>
  </si>
  <si>
    <t>sneha gupta</t>
  </si>
  <si>
    <t>tirth vaghasiya</t>
  </si>
  <si>
    <t>heer shelaiya</t>
  </si>
  <si>
    <t>mahek dholakiya</t>
  </si>
  <si>
    <t>pavitra navapara</t>
  </si>
  <si>
    <t>krishn dholakiya</t>
  </si>
  <si>
    <t>yug shelaiya</t>
  </si>
  <si>
    <t>shreya shelaiya</t>
  </si>
  <si>
    <t>krushali viradiya</t>
  </si>
  <si>
    <t>shanvi gajera</t>
  </si>
  <si>
    <t>jiya dholakiya</t>
  </si>
  <si>
    <t>First Name</t>
  </si>
  <si>
    <t>Name UPPER</t>
  </si>
  <si>
    <t>Top Students (AVG&gt;80)</t>
  </si>
  <si>
    <t>Name LOWER</t>
  </si>
  <si>
    <t>Total Sales</t>
  </si>
  <si>
    <t>sales person</t>
  </si>
  <si>
    <t>person 1</t>
  </si>
  <si>
    <t>E2:E21</t>
  </si>
  <si>
    <t>Range</t>
  </si>
  <si>
    <t>sum</t>
  </si>
  <si>
    <t>Number of rows</t>
  </si>
  <si>
    <t>sales sum</t>
  </si>
  <si>
    <t>Years Of Service</t>
  </si>
  <si>
    <t>Days Since Joining</t>
  </si>
  <si>
    <t>ID 1:</t>
  </si>
  <si>
    <t>ID 2:</t>
  </si>
  <si>
    <t>Difference</t>
  </si>
  <si>
    <t>Student Id</t>
  </si>
  <si>
    <t>Math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</si>
</sst>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 Unicode MS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5" fillId="3" borderId="1" xfId="0" applyFont="1" applyFill="1" applyBorder="1"/>
    <xf numFmtId="0" fontId="5" fillId="2" borderId="1" xfId="0" applyFont="1" applyFill="1" applyBorder="1"/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1" fillId="2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3" borderId="0" xfId="0" applyFont="1" applyFill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/>
    <xf numFmtId="0" fontId="5" fillId="2" borderId="11" xfId="0" applyFont="1" applyFill="1" applyBorder="1" applyAlignment="1">
      <alignment horizontal="center"/>
    </xf>
    <xf numFmtId="0" fontId="0" fillId="0" borderId="12" xfId="0" applyBorder="1"/>
    <xf numFmtId="0" fontId="5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4" xfId="0" applyBorder="1"/>
    <xf numFmtId="0" fontId="2" fillId="0" borderId="1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4" fontId="2" fillId="0" borderId="16" xfId="0" applyNumberFormat="1" applyFont="1" applyBorder="1" applyAlignment="1">
      <alignment horizontal="center" vertical="center" wrapText="1"/>
    </xf>
    <xf numFmtId="0" fontId="0" fillId="0" borderId="16" xfId="0" applyBorder="1"/>
    <xf numFmtId="0" fontId="3" fillId="0" borderId="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0" fillId="0" borderId="17" xfId="0" applyBorder="1"/>
    <xf numFmtId="0" fontId="5" fillId="2" borderId="18" xfId="0" applyFont="1" applyFill="1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0" xfId="0" applyFill="1"/>
    <xf numFmtId="0" fontId="2" fillId="0" borderId="1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5" fillId="2" borderId="23" xfId="0" applyFont="1" applyFill="1" applyBorder="1"/>
    <xf numFmtId="0" fontId="0" fillId="0" borderId="24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1B80-D7B6-49DD-9640-830E68EC0B42}">
  <dimension ref="A1:P24"/>
  <sheetViews>
    <sheetView zoomScale="93" zoomScaleNormal="73" workbookViewId="0">
      <selection activeCell="K27" sqref="K27"/>
    </sheetView>
  </sheetViews>
  <sheetFormatPr defaultRowHeight="14.4"/>
  <cols>
    <col min="2" max="2" width="21.6640625" customWidth="1"/>
    <col min="4" max="4" width="11.109375" customWidth="1"/>
    <col min="6" max="6" width="15.44140625" bestFit="1" customWidth="1"/>
    <col min="12" max="13" width="23.44140625" customWidth="1"/>
    <col min="16" max="16" width="16.109375" customWidth="1"/>
  </cols>
  <sheetData>
    <row r="1" spans="1:16" ht="72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69</v>
      </c>
      <c r="H1" s="32" t="s">
        <v>70</v>
      </c>
      <c r="I1" s="32" t="s">
        <v>71</v>
      </c>
      <c r="J1" s="32" t="s">
        <v>72</v>
      </c>
      <c r="K1" s="32" t="s">
        <v>107</v>
      </c>
      <c r="L1" s="32" t="s">
        <v>108</v>
      </c>
      <c r="M1" s="32" t="s">
        <v>110</v>
      </c>
      <c r="N1" s="46" t="s">
        <v>79</v>
      </c>
      <c r="O1" s="32" t="s">
        <v>73</v>
      </c>
      <c r="P1" s="32" t="s">
        <v>109</v>
      </c>
    </row>
    <row r="2" spans="1:16">
      <c r="A2" s="33">
        <v>1001</v>
      </c>
      <c r="B2" s="33" t="s">
        <v>87</v>
      </c>
      <c r="C2" s="33">
        <v>61</v>
      </c>
      <c r="D2" s="33">
        <v>48</v>
      </c>
      <c r="E2" s="33">
        <v>76</v>
      </c>
      <c r="F2" s="34">
        <v>43101</v>
      </c>
      <c r="G2" s="45">
        <f>SUM(C2:E2)</f>
        <v>185</v>
      </c>
      <c r="H2" s="22">
        <f>AVERAGE(C2:E2)</f>
        <v>61.666666666666664</v>
      </c>
      <c r="I2" s="22" t="str">
        <f>IF(H2&gt;=90,"A",IF(H2&gt;=80,"B",IF(H2&gt;=70,"C",IF(H2&gt;=60,"D","F"))))</f>
        <v>D</v>
      </c>
      <c r="J2" s="22" t="str">
        <f>IF(AND(C2&gt;80,D2&gt;80),"YES","NO")</f>
        <v>NO</v>
      </c>
      <c r="K2" s="27" t="str">
        <f>LEFT(B2,FIND(" ",B2)-1)</f>
        <v>krinal</v>
      </c>
      <c r="L2" s="27" t="str">
        <f>UPPER(B2)</f>
        <v>KRINAL DHOLAKIYA</v>
      </c>
      <c r="M2" s="27" t="str">
        <f>LOWER(B2)</f>
        <v>krinal dholakiya</v>
      </c>
      <c r="N2" s="47">
        <f>AVERAGEIFS(H2:H21,H2:H21,"&gt;60")</f>
        <v>73.625000000000014</v>
      </c>
      <c r="O2" s="27">
        <f>COUNTIFS(C2:C21,"&gt;50")</f>
        <v>19</v>
      </c>
      <c r="P2" s="27" t="str" cm="1">
        <f t="array" ref="P2:P3">_xlfn._xlws.FILTER(B2:B21,H2:H21&gt;80)</f>
        <v>heer shelaiya</v>
      </c>
    </row>
    <row r="3" spans="1:16">
      <c r="A3" s="33">
        <v>1002</v>
      </c>
      <c r="B3" s="33" t="s">
        <v>88</v>
      </c>
      <c r="C3" s="33">
        <v>78</v>
      </c>
      <c r="D3" s="33">
        <v>76</v>
      </c>
      <c r="E3" s="33">
        <v>70</v>
      </c>
      <c r="F3" s="34">
        <v>43102</v>
      </c>
      <c r="G3" s="45">
        <f t="shared" ref="G3:G21" si="0">SUM(C3:E3)</f>
        <v>224</v>
      </c>
      <c r="H3" s="22">
        <f t="shared" ref="H3:H21" si="1">AVERAGE(C3:E3)</f>
        <v>74.666666666666671</v>
      </c>
      <c r="I3" s="22" t="str">
        <f t="shared" ref="I3:I21" si="2">IF(H3&gt;=90,"A",IF(H3&gt;=80,"B",IF(H3&gt;=70,"C",IF(H3&gt;=60,"D","F"))))</f>
        <v>C</v>
      </c>
      <c r="J3" s="22" t="str">
        <f t="shared" ref="J3:J21" si="3">IF(AND(C3&gt;80,D3&gt;80),"YES","NO")</f>
        <v>NO</v>
      </c>
      <c r="K3" s="27" t="str">
        <f t="shared" ref="K3:K21" si="4">LEFT(B3,FIND(" ",B3)-1)</f>
        <v>pranshu</v>
      </c>
      <c r="L3" s="27" t="str">
        <f t="shared" ref="L3:L21" si="5">UPPER(B3)</f>
        <v>PRANSHU PATEL</v>
      </c>
      <c r="M3" s="27" t="str">
        <f t="shared" ref="M3:M21" si="6">LOWER(B3)</f>
        <v>pranshu patel</v>
      </c>
      <c r="P3" s="27" t="str">
        <v>mahek dholakiya</v>
      </c>
    </row>
    <row r="4" spans="1:16">
      <c r="A4" s="33">
        <v>1003</v>
      </c>
      <c r="B4" s="33" t="s">
        <v>89</v>
      </c>
      <c r="C4" s="33">
        <v>97</v>
      </c>
      <c r="D4" s="33">
        <v>60</v>
      </c>
      <c r="E4" s="33">
        <v>51</v>
      </c>
      <c r="F4" s="34">
        <v>43103</v>
      </c>
      <c r="G4" s="45">
        <f t="shared" si="0"/>
        <v>208</v>
      </c>
      <c r="H4" s="22">
        <f t="shared" si="1"/>
        <v>69.333333333333329</v>
      </c>
      <c r="I4" s="22" t="str">
        <f t="shared" si="2"/>
        <v>D</v>
      </c>
      <c r="J4" s="22" t="str">
        <f t="shared" si="3"/>
        <v>NO</v>
      </c>
      <c r="K4" s="27" t="str">
        <f t="shared" si="4"/>
        <v>divyesh</v>
      </c>
      <c r="L4" s="27" t="str">
        <f t="shared" si="5"/>
        <v>DIVYESH JADAV</v>
      </c>
      <c r="M4" s="27" t="str">
        <f t="shared" si="6"/>
        <v>divyesh jadav</v>
      </c>
    </row>
    <row r="5" spans="1:16">
      <c r="A5" s="33">
        <v>1004</v>
      </c>
      <c r="B5" s="33" t="s">
        <v>90</v>
      </c>
      <c r="C5" s="33">
        <v>74</v>
      </c>
      <c r="D5" s="33">
        <v>55</v>
      </c>
      <c r="E5" s="33">
        <v>46</v>
      </c>
      <c r="F5" s="34">
        <v>43104</v>
      </c>
      <c r="G5" s="45">
        <f t="shared" si="0"/>
        <v>175</v>
      </c>
      <c r="H5" s="22">
        <f t="shared" si="1"/>
        <v>58.333333333333336</v>
      </c>
      <c r="I5" s="22" t="str">
        <f t="shared" si="2"/>
        <v>F</v>
      </c>
      <c r="J5" s="22" t="str">
        <f t="shared" si="3"/>
        <v>NO</v>
      </c>
      <c r="K5" s="27" t="str">
        <f t="shared" si="4"/>
        <v>neev</v>
      </c>
      <c r="L5" s="27" t="str">
        <f t="shared" si="5"/>
        <v>NEEV SHANKAR</v>
      </c>
      <c r="M5" s="27" t="str">
        <f t="shared" si="6"/>
        <v>neev shankar</v>
      </c>
    </row>
    <row r="6" spans="1:16">
      <c r="A6" s="33">
        <v>1005</v>
      </c>
      <c r="B6" s="33" t="s">
        <v>91</v>
      </c>
      <c r="C6" s="33">
        <v>68</v>
      </c>
      <c r="D6" s="33">
        <v>74</v>
      </c>
      <c r="E6" s="33">
        <v>84</v>
      </c>
      <c r="F6" s="34">
        <v>43105</v>
      </c>
      <c r="G6" s="45">
        <f t="shared" si="0"/>
        <v>226</v>
      </c>
      <c r="H6" s="22">
        <f t="shared" si="1"/>
        <v>75.333333333333329</v>
      </c>
      <c r="I6" s="22" t="str">
        <f t="shared" si="2"/>
        <v>C</v>
      </c>
      <c r="J6" s="22" t="str">
        <f t="shared" si="3"/>
        <v>NO</v>
      </c>
      <c r="K6" s="27" t="str">
        <f t="shared" si="4"/>
        <v>yashvi</v>
      </c>
      <c r="L6" s="27" t="str">
        <f t="shared" si="5"/>
        <v>YASHVI JASANI</v>
      </c>
      <c r="M6" s="27" t="str">
        <f t="shared" si="6"/>
        <v>yashvi jasani</v>
      </c>
    </row>
    <row r="7" spans="1:16">
      <c r="A7" s="33">
        <v>1006</v>
      </c>
      <c r="B7" s="33" t="s">
        <v>92</v>
      </c>
      <c r="C7" s="33">
        <v>80</v>
      </c>
      <c r="D7" s="33">
        <v>70</v>
      </c>
      <c r="E7" s="33">
        <v>65</v>
      </c>
      <c r="F7" s="34">
        <v>43106</v>
      </c>
      <c r="G7" s="45">
        <f t="shared" si="0"/>
        <v>215</v>
      </c>
      <c r="H7" s="22">
        <f t="shared" si="1"/>
        <v>71.666666666666671</v>
      </c>
      <c r="I7" s="22" t="str">
        <f t="shared" si="2"/>
        <v>C</v>
      </c>
      <c r="J7" s="22" t="str">
        <f t="shared" si="3"/>
        <v>NO</v>
      </c>
      <c r="K7" s="27" t="str">
        <f t="shared" si="4"/>
        <v>tejas</v>
      </c>
      <c r="L7" s="27" t="str">
        <f t="shared" si="5"/>
        <v>TEJAS VARMA</v>
      </c>
      <c r="M7" s="27" t="str">
        <f t="shared" si="6"/>
        <v>tejas varma</v>
      </c>
    </row>
    <row r="8" spans="1:16">
      <c r="A8" s="33">
        <v>1007</v>
      </c>
      <c r="B8" s="33" t="s">
        <v>93</v>
      </c>
      <c r="C8" s="33">
        <v>75</v>
      </c>
      <c r="D8" s="33">
        <v>47</v>
      </c>
      <c r="E8" s="33">
        <v>78</v>
      </c>
      <c r="F8" s="34">
        <v>43107</v>
      </c>
      <c r="G8" s="45">
        <f t="shared" si="0"/>
        <v>200</v>
      </c>
      <c r="H8" s="22">
        <f t="shared" si="1"/>
        <v>66.666666666666671</v>
      </c>
      <c r="I8" s="22" t="str">
        <f t="shared" si="2"/>
        <v>D</v>
      </c>
      <c r="J8" s="22" t="str">
        <f t="shared" si="3"/>
        <v>NO</v>
      </c>
      <c r="K8" s="27" t="str">
        <f t="shared" si="4"/>
        <v>priya</v>
      </c>
      <c r="L8" s="27" t="str">
        <f t="shared" si="5"/>
        <v>PRIYA SHIHORA</v>
      </c>
      <c r="M8" s="27" t="str">
        <f t="shared" si="6"/>
        <v>priya shihora</v>
      </c>
    </row>
    <row r="9" spans="1:16">
      <c r="A9" s="33">
        <v>1008</v>
      </c>
      <c r="B9" s="33" t="s">
        <v>94</v>
      </c>
      <c r="C9" s="33">
        <v>94</v>
      </c>
      <c r="D9" s="33">
        <v>67</v>
      </c>
      <c r="E9" s="33">
        <v>64</v>
      </c>
      <c r="F9" s="34">
        <v>43108</v>
      </c>
      <c r="G9" s="45">
        <f t="shared" si="0"/>
        <v>225</v>
      </c>
      <c r="H9" s="22">
        <f t="shared" si="1"/>
        <v>75</v>
      </c>
      <c r="I9" s="22" t="str">
        <f t="shared" si="2"/>
        <v>C</v>
      </c>
      <c r="J9" s="22" t="str">
        <f t="shared" si="3"/>
        <v>NO</v>
      </c>
      <c r="K9" s="27" t="str">
        <f t="shared" si="4"/>
        <v>ved</v>
      </c>
      <c r="L9" s="27" t="str">
        <f t="shared" si="5"/>
        <v>VED DHAMELIYA</v>
      </c>
      <c r="M9" s="27" t="str">
        <f t="shared" si="6"/>
        <v>ved dhameliya</v>
      </c>
    </row>
    <row r="10" spans="1:16">
      <c r="A10" s="33">
        <v>1009</v>
      </c>
      <c r="B10" s="33" t="s">
        <v>95</v>
      </c>
      <c r="C10" s="33">
        <v>41</v>
      </c>
      <c r="D10" s="33">
        <v>75</v>
      </c>
      <c r="E10" s="33">
        <v>56</v>
      </c>
      <c r="F10" s="34">
        <v>43109</v>
      </c>
      <c r="G10" s="45">
        <f t="shared" si="0"/>
        <v>172</v>
      </c>
      <c r="H10" s="22">
        <f t="shared" si="1"/>
        <v>57.333333333333336</v>
      </c>
      <c r="I10" s="22" t="str">
        <f t="shared" si="2"/>
        <v>F</v>
      </c>
      <c r="J10" s="22" t="str">
        <f t="shared" si="3"/>
        <v>NO</v>
      </c>
      <c r="K10" s="27" t="str">
        <f t="shared" si="4"/>
        <v>asvi</v>
      </c>
      <c r="L10" s="27" t="str">
        <f t="shared" si="5"/>
        <v>ASVI AMBALIYA</v>
      </c>
      <c r="M10" s="27" t="str">
        <f t="shared" si="6"/>
        <v>asvi ambaliya</v>
      </c>
    </row>
    <row r="11" spans="1:16">
      <c r="A11" s="33">
        <v>1010</v>
      </c>
      <c r="B11" s="33" t="s">
        <v>96</v>
      </c>
      <c r="C11" s="33">
        <v>98</v>
      </c>
      <c r="D11" s="33">
        <v>54</v>
      </c>
      <c r="E11" s="33">
        <v>58</v>
      </c>
      <c r="F11" s="34">
        <v>43110</v>
      </c>
      <c r="G11" s="45">
        <f t="shared" si="0"/>
        <v>210</v>
      </c>
      <c r="H11" s="22">
        <f t="shared" si="1"/>
        <v>70</v>
      </c>
      <c r="I11" s="22" t="str">
        <f t="shared" si="2"/>
        <v>C</v>
      </c>
      <c r="J11" s="22" t="str">
        <f t="shared" si="3"/>
        <v>NO</v>
      </c>
      <c r="K11" s="27" t="str">
        <f t="shared" si="4"/>
        <v>sneha</v>
      </c>
      <c r="L11" s="27" t="str">
        <f t="shared" si="5"/>
        <v>SNEHA GUPTA</v>
      </c>
      <c r="M11" s="27" t="str">
        <f t="shared" si="6"/>
        <v>sneha gupta</v>
      </c>
    </row>
    <row r="12" spans="1:16">
      <c r="A12" s="33">
        <v>1011</v>
      </c>
      <c r="B12" s="33" t="s">
        <v>97</v>
      </c>
      <c r="C12" s="33">
        <v>73</v>
      </c>
      <c r="D12" s="33">
        <v>79</v>
      </c>
      <c r="E12" s="33">
        <v>53</v>
      </c>
      <c r="F12" s="34">
        <v>43111</v>
      </c>
      <c r="G12" s="45">
        <f t="shared" si="0"/>
        <v>205</v>
      </c>
      <c r="H12" s="22">
        <f t="shared" si="1"/>
        <v>68.333333333333329</v>
      </c>
      <c r="I12" s="22" t="str">
        <f t="shared" si="2"/>
        <v>D</v>
      </c>
      <c r="J12" s="22" t="str">
        <f t="shared" si="3"/>
        <v>NO</v>
      </c>
      <c r="K12" s="27" t="str">
        <f t="shared" si="4"/>
        <v>tirth</v>
      </c>
      <c r="L12" s="27" t="str">
        <f t="shared" si="5"/>
        <v>TIRTH VAGHASIYA</v>
      </c>
      <c r="M12" s="27" t="str">
        <f t="shared" si="6"/>
        <v>tirth vaghasiya</v>
      </c>
    </row>
    <row r="13" spans="1:16">
      <c r="A13" s="33">
        <v>1012</v>
      </c>
      <c r="B13" s="33" t="s">
        <v>98</v>
      </c>
      <c r="C13" s="33">
        <v>85</v>
      </c>
      <c r="D13" s="33">
        <v>89</v>
      </c>
      <c r="E13" s="33">
        <v>79</v>
      </c>
      <c r="F13" s="34">
        <v>43112</v>
      </c>
      <c r="G13" s="45">
        <f t="shared" si="0"/>
        <v>253</v>
      </c>
      <c r="H13" s="22">
        <f t="shared" si="1"/>
        <v>84.333333333333329</v>
      </c>
      <c r="I13" s="22" t="str">
        <f t="shared" si="2"/>
        <v>B</v>
      </c>
      <c r="J13" s="22" t="str">
        <f t="shared" si="3"/>
        <v>YES</v>
      </c>
      <c r="K13" s="27" t="str">
        <f t="shared" si="4"/>
        <v>heer</v>
      </c>
      <c r="L13" s="27" t="str">
        <f t="shared" si="5"/>
        <v>HEER SHELAIYA</v>
      </c>
      <c r="M13" s="27" t="str">
        <f t="shared" si="6"/>
        <v>heer shelaiya</v>
      </c>
    </row>
    <row r="14" spans="1:16">
      <c r="A14" s="33">
        <v>1013</v>
      </c>
      <c r="B14" s="33" t="s">
        <v>99</v>
      </c>
      <c r="C14" s="33">
        <v>98</v>
      </c>
      <c r="D14" s="33">
        <v>90</v>
      </c>
      <c r="E14" s="33">
        <v>97</v>
      </c>
      <c r="F14" s="34">
        <v>43113</v>
      </c>
      <c r="G14" s="45">
        <f t="shared" si="0"/>
        <v>285</v>
      </c>
      <c r="H14" s="22">
        <f t="shared" si="1"/>
        <v>95</v>
      </c>
      <c r="I14" s="22" t="str">
        <f t="shared" si="2"/>
        <v>A</v>
      </c>
      <c r="J14" s="22" t="str">
        <f t="shared" si="3"/>
        <v>YES</v>
      </c>
      <c r="K14" s="27" t="str">
        <f t="shared" si="4"/>
        <v>mahek</v>
      </c>
      <c r="L14" s="27" t="str">
        <f t="shared" si="5"/>
        <v>MAHEK DHOLAKIYA</v>
      </c>
      <c r="M14" s="27" t="str">
        <f t="shared" si="6"/>
        <v>mahek dholakiya</v>
      </c>
    </row>
    <row r="15" spans="1:16">
      <c r="A15" s="33">
        <v>1014</v>
      </c>
      <c r="B15" s="33" t="s">
        <v>100</v>
      </c>
      <c r="C15" s="33">
        <v>93</v>
      </c>
      <c r="D15" s="33">
        <v>40</v>
      </c>
      <c r="E15" s="33">
        <v>44</v>
      </c>
      <c r="F15" s="34">
        <v>43114</v>
      </c>
      <c r="G15" s="45">
        <f t="shared" si="0"/>
        <v>177</v>
      </c>
      <c r="H15" s="22">
        <f t="shared" si="1"/>
        <v>59</v>
      </c>
      <c r="I15" s="22" t="str">
        <f t="shared" si="2"/>
        <v>F</v>
      </c>
      <c r="J15" s="22" t="str">
        <f t="shared" si="3"/>
        <v>NO</v>
      </c>
      <c r="K15" s="27" t="str">
        <f t="shared" si="4"/>
        <v>pavitra</v>
      </c>
      <c r="L15" s="27" t="str">
        <f t="shared" si="5"/>
        <v>PAVITRA NAVAPARA</v>
      </c>
      <c r="M15" s="27" t="str">
        <f t="shared" si="6"/>
        <v>pavitra navapara</v>
      </c>
    </row>
    <row r="16" spans="1:16">
      <c r="A16" s="33">
        <v>1015</v>
      </c>
      <c r="B16" s="33" t="s">
        <v>101</v>
      </c>
      <c r="C16" s="33">
        <v>70</v>
      </c>
      <c r="D16" s="33">
        <v>51</v>
      </c>
      <c r="E16" s="33">
        <v>75</v>
      </c>
      <c r="F16" s="34">
        <v>43115</v>
      </c>
      <c r="G16" s="45">
        <f t="shared" si="0"/>
        <v>196</v>
      </c>
      <c r="H16" s="22">
        <f t="shared" si="1"/>
        <v>65.333333333333329</v>
      </c>
      <c r="I16" s="22" t="str">
        <f t="shared" si="2"/>
        <v>D</v>
      </c>
      <c r="J16" s="22" t="str">
        <f t="shared" si="3"/>
        <v>NO</v>
      </c>
      <c r="K16" s="27" t="str">
        <f t="shared" si="4"/>
        <v>krishn</v>
      </c>
      <c r="L16" s="27" t="str">
        <f t="shared" si="5"/>
        <v>KRISHN DHOLAKIYA</v>
      </c>
      <c r="M16" s="27" t="str">
        <f t="shared" si="6"/>
        <v>krishn dholakiya</v>
      </c>
    </row>
    <row r="17" spans="1:13">
      <c r="A17" s="33">
        <v>1016</v>
      </c>
      <c r="B17" s="33" t="s">
        <v>102</v>
      </c>
      <c r="C17" s="33">
        <v>98</v>
      </c>
      <c r="D17" s="33">
        <v>77</v>
      </c>
      <c r="E17" s="33">
        <v>60</v>
      </c>
      <c r="F17" s="34">
        <v>43116</v>
      </c>
      <c r="G17" s="45">
        <f t="shared" si="0"/>
        <v>235</v>
      </c>
      <c r="H17" s="22">
        <f t="shared" si="1"/>
        <v>78.333333333333329</v>
      </c>
      <c r="I17" s="22" t="str">
        <f t="shared" si="2"/>
        <v>C</v>
      </c>
      <c r="J17" s="22" t="str">
        <f t="shared" si="3"/>
        <v>NO</v>
      </c>
      <c r="K17" s="27" t="str">
        <f t="shared" si="4"/>
        <v>yug</v>
      </c>
      <c r="L17" s="27" t="str">
        <f t="shared" si="5"/>
        <v>YUG SHELAIYA</v>
      </c>
      <c r="M17" s="27" t="str">
        <f t="shared" si="6"/>
        <v>yug shelaiya</v>
      </c>
    </row>
    <row r="18" spans="1:13">
      <c r="A18" s="33">
        <v>1017</v>
      </c>
      <c r="B18" s="33" t="s">
        <v>103</v>
      </c>
      <c r="C18" s="33">
        <v>66</v>
      </c>
      <c r="D18" s="33">
        <v>59</v>
      </c>
      <c r="E18" s="33">
        <v>40</v>
      </c>
      <c r="F18" s="34">
        <v>43117</v>
      </c>
      <c r="G18" s="45">
        <f t="shared" si="0"/>
        <v>165</v>
      </c>
      <c r="H18" s="22">
        <f t="shared" si="1"/>
        <v>55</v>
      </c>
      <c r="I18" s="22" t="str">
        <f t="shared" si="2"/>
        <v>F</v>
      </c>
      <c r="J18" s="22" t="str">
        <f t="shared" si="3"/>
        <v>NO</v>
      </c>
      <c r="K18" s="27" t="str">
        <f t="shared" si="4"/>
        <v>shreya</v>
      </c>
      <c r="L18" s="27" t="str">
        <f t="shared" si="5"/>
        <v>SHREYA SHELAIYA</v>
      </c>
      <c r="M18" s="27" t="str">
        <f t="shared" si="6"/>
        <v>shreya shelaiya</v>
      </c>
    </row>
    <row r="19" spans="1:13">
      <c r="A19" s="33">
        <v>1018</v>
      </c>
      <c r="B19" s="33" t="s">
        <v>104</v>
      </c>
      <c r="C19" s="33">
        <v>82</v>
      </c>
      <c r="D19" s="33">
        <v>48</v>
      </c>
      <c r="E19" s="33">
        <v>79</v>
      </c>
      <c r="F19" s="34">
        <v>43118</v>
      </c>
      <c r="G19" s="45">
        <f t="shared" si="0"/>
        <v>209</v>
      </c>
      <c r="H19" s="22">
        <f t="shared" si="1"/>
        <v>69.666666666666671</v>
      </c>
      <c r="I19" s="22" t="str">
        <f t="shared" si="2"/>
        <v>D</v>
      </c>
      <c r="J19" s="22" t="str">
        <f t="shared" si="3"/>
        <v>NO</v>
      </c>
      <c r="K19" s="27" t="str">
        <f t="shared" si="4"/>
        <v>krushali</v>
      </c>
      <c r="L19" s="27" t="str">
        <f t="shared" si="5"/>
        <v>KRUSHALI VIRADIYA</v>
      </c>
      <c r="M19" s="27" t="str">
        <f t="shared" si="6"/>
        <v>krushali viradiya</v>
      </c>
    </row>
    <row r="20" spans="1:13">
      <c r="A20" s="33">
        <v>1019</v>
      </c>
      <c r="B20" s="33" t="s">
        <v>105</v>
      </c>
      <c r="C20" s="33">
        <v>90</v>
      </c>
      <c r="D20" s="33">
        <v>78</v>
      </c>
      <c r="E20" s="33">
        <v>60</v>
      </c>
      <c r="F20" s="34">
        <v>43119</v>
      </c>
      <c r="G20" s="45">
        <f t="shared" si="0"/>
        <v>228</v>
      </c>
      <c r="H20" s="22">
        <f t="shared" si="1"/>
        <v>76</v>
      </c>
      <c r="I20" s="22" t="str">
        <f t="shared" si="2"/>
        <v>C</v>
      </c>
      <c r="J20" s="22" t="str">
        <f t="shared" si="3"/>
        <v>NO</v>
      </c>
      <c r="K20" s="27" t="str">
        <f t="shared" si="4"/>
        <v>shanvi</v>
      </c>
      <c r="L20" s="27" t="str">
        <f t="shared" si="5"/>
        <v>SHANVI GAJERA</v>
      </c>
      <c r="M20" s="27" t="str">
        <f t="shared" si="6"/>
        <v>shanvi gajera</v>
      </c>
    </row>
    <row r="21" spans="1:13">
      <c r="A21" s="33">
        <v>1020</v>
      </c>
      <c r="B21" s="33" t="s">
        <v>106</v>
      </c>
      <c r="C21" s="33">
        <v>83</v>
      </c>
      <c r="D21" s="33">
        <v>92</v>
      </c>
      <c r="E21" s="33">
        <v>55</v>
      </c>
      <c r="F21" s="34">
        <v>43120</v>
      </c>
      <c r="G21" s="45">
        <f t="shared" si="0"/>
        <v>230</v>
      </c>
      <c r="H21" s="22">
        <f t="shared" si="1"/>
        <v>76.666666666666671</v>
      </c>
      <c r="I21" s="22" t="str">
        <f t="shared" si="2"/>
        <v>C</v>
      </c>
      <c r="J21" s="22" t="str">
        <f t="shared" si="3"/>
        <v>YES</v>
      </c>
      <c r="K21" s="27" t="str">
        <f t="shared" si="4"/>
        <v>jiya</v>
      </c>
      <c r="L21" s="27" t="str">
        <f t="shared" si="5"/>
        <v>JIYA DHOLAKIYA</v>
      </c>
      <c r="M21" s="27" t="str">
        <f t="shared" si="6"/>
        <v>jiya dholakiya</v>
      </c>
    </row>
    <row r="22" spans="1:13" ht="15" thickBot="1"/>
    <row r="23" spans="1:13" ht="43.2">
      <c r="A23" s="4" t="s">
        <v>80</v>
      </c>
      <c r="B23" s="5" t="s">
        <v>1</v>
      </c>
      <c r="D23" s="23" t="s">
        <v>124</v>
      </c>
      <c r="E23" s="52">
        <v>1020</v>
      </c>
    </row>
    <row r="24" spans="1:13" ht="15" thickBot="1">
      <c r="A24" s="7">
        <v>1001</v>
      </c>
      <c r="B24" s="8" t="str">
        <f>IFERROR(VLOOKUP(A24,A2:B21,2,FALSE),"Not Found")</f>
        <v>krinal dholakiya</v>
      </c>
      <c r="D24" s="25" t="s">
        <v>125</v>
      </c>
      <c r="E24" s="26">
        <f>_xlfn.XLOOKUP(E23, A2:A21, C2:C21, "Not Found")</f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DAA7-843E-43E3-BB9A-E5CDB3BF23FD}">
  <dimension ref="A1:Y36"/>
  <sheetViews>
    <sheetView topLeftCell="A13" zoomScale="79" zoomScaleNormal="87" workbookViewId="0">
      <selection activeCell="R9" sqref="R9"/>
    </sheetView>
  </sheetViews>
  <sheetFormatPr defaultRowHeight="14.4"/>
  <cols>
    <col min="1" max="1" width="22.88671875" customWidth="1"/>
    <col min="2" max="2" width="16" customWidth="1"/>
    <col min="6" max="6" width="15.44140625" customWidth="1"/>
    <col min="10" max="10" width="26.88671875" customWidth="1"/>
    <col min="14" max="14" width="10.33203125" customWidth="1"/>
    <col min="18" max="18" width="11.44140625" customWidth="1"/>
    <col min="24" max="24" width="17.109375" customWidth="1"/>
  </cols>
  <sheetData>
    <row r="1" spans="1:25" ht="28.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81</v>
      </c>
      <c r="N1" s="14" t="s">
        <v>8</v>
      </c>
      <c r="O1" s="15" t="s">
        <v>20</v>
      </c>
      <c r="R1" s="53" t="s">
        <v>112</v>
      </c>
      <c r="S1" s="54" t="s">
        <v>113</v>
      </c>
      <c r="U1" s="23" t="s">
        <v>115</v>
      </c>
      <c r="V1" s="24" t="s">
        <v>114</v>
      </c>
      <c r="X1" s="23" t="s">
        <v>117</v>
      </c>
      <c r="Y1" s="24">
        <v>2</v>
      </c>
    </row>
    <row r="2" spans="1:25" ht="15" thickBot="1">
      <c r="A2" s="3">
        <v>2001</v>
      </c>
      <c r="B2" s="3" t="s">
        <v>12</v>
      </c>
      <c r="C2" s="3" t="s">
        <v>13</v>
      </c>
      <c r="D2" s="3" t="s">
        <v>14</v>
      </c>
      <c r="E2" s="3">
        <v>7048</v>
      </c>
      <c r="F2" s="6">
        <v>44927</v>
      </c>
      <c r="G2" s="11">
        <f>IF(E2&gt;=40000,0.1,IF(E2&gt;=25000,0.05,0))</f>
        <v>0</v>
      </c>
      <c r="H2" s="12">
        <f>E2*G2</f>
        <v>0</v>
      </c>
      <c r="I2" s="12">
        <f>E2-H2</f>
        <v>7048</v>
      </c>
      <c r="J2" s="12" t="str">
        <f>IF(AND(E2&gt;30000,C2="North"),"Yes","No")</f>
        <v>No</v>
      </c>
      <c r="K2" s="2" t="str">
        <f>IF(OR(E2&gt;40000,C2="North"),"Yes","No")</f>
        <v>No</v>
      </c>
      <c r="N2" s="16" t="s">
        <v>7</v>
      </c>
      <c r="O2" s="17" t="s">
        <v>18</v>
      </c>
      <c r="R2" s="55" t="s">
        <v>76</v>
      </c>
      <c r="S2" s="56">
        <f>_xlfn.XLOOKUP(S1,D2:D21,E2:E21,"Not Found")</f>
        <v>7048</v>
      </c>
      <c r="U2" s="25" t="s">
        <v>116</v>
      </c>
      <c r="V2" s="26">
        <f ca="1">SUM(INDIRECT(V1))</f>
        <v>507725</v>
      </c>
      <c r="X2" s="28" t="s">
        <v>118</v>
      </c>
      <c r="Y2" s="26">
        <f ca="1">SUM(OFFSET(E2,0,0,Y1,1))</f>
        <v>24476</v>
      </c>
    </row>
    <row r="3" spans="1:25" ht="15" thickBot="1">
      <c r="A3" s="3">
        <v>2002</v>
      </c>
      <c r="B3" s="3" t="s">
        <v>15</v>
      </c>
      <c r="C3" s="3" t="s">
        <v>16</v>
      </c>
      <c r="D3" s="3" t="s">
        <v>17</v>
      </c>
      <c r="E3" s="3">
        <v>17428</v>
      </c>
      <c r="F3" s="6">
        <v>44928</v>
      </c>
      <c r="G3" s="11">
        <f t="shared" ref="G3:G21" si="0">IF(E3&gt;=40000,0.1,IF(E3&gt;=25000,0.05,0))</f>
        <v>0</v>
      </c>
      <c r="H3" s="12">
        <f t="shared" ref="H3:H21" si="1">E3*G3</f>
        <v>0</v>
      </c>
      <c r="I3" s="12">
        <f t="shared" ref="I3:I21" si="2">E3-H3</f>
        <v>17428</v>
      </c>
      <c r="J3" s="12" t="str">
        <f t="shared" ref="J3:J21" si="3">IF(AND(E3&gt;30000,C3="North"),"Yes","No")</f>
        <v>No</v>
      </c>
      <c r="K3" s="2" t="str">
        <f t="shared" ref="K3:K21" si="4">IF(OR(E3&gt;40000,C3="North"),"Yes","No")</f>
        <v>No</v>
      </c>
      <c r="N3" s="18" t="s">
        <v>111</v>
      </c>
      <c r="O3" s="19">
        <f>SUMIFS(E2:E21,C2:C21,O1,B2:B21,O2)</f>
        <v>37335</v>
      </c>
      <c r="U3" s="20"/>
    </row>
    <row r="4" spans="1:25">
      <c r="A4" s="3">
        <v>2003</v>
      </c>
      <c r="B4" s="3" t="s">
        <v>18</v>
      </c>
      <c r="C4" s="3" t="s">
        <v>13</v>
      </c>
      <c r="D4" s="3" t="s">
        <v>19</v>
      </c>
      <c r="E4" s="3">
        <v>23672</v>
      </c>
      <c r="F4" s="6">
        <v>44929</v>
      </c>
      <c r="G4" s="11">
        <f t="shared" si="0"/>
        <v>0</v>
      </c>
      <c r="H4" s="12">
        <f t="shared" si="1"/>
        <v>0</v>
      </c>
      <c r="I4" s="12">
        <f t="shared" si="2"/>
        <v>23672</v>
      </c>
      <c r="J4" s="12" t="str">
        <f t="shared" si="3"/>
        <v>No</v>
      </c>
      <c r="K4" s="2" t="str">
        <f t="shared" si="4"/>
        <v>No</v>
      </c>
    </row>
    <row r="5" spans="1:25">
      <c r="A5" s="3">
        <v>2004</v>
      </c>
      <c r="B5" s="3" t="s">
        <v>15</v>
      </c>
      <c r="C5" s="3" t="s">
        <v>20</v>
      </c>
      <c r="D5" s="3" t="s">
        <v>21</v>
      </c>
      <c r="E5" s="3">
        <v>5264</v>
      </c>
      <c r="F5" s="6">
        <v>44930</v>
      </c>
      <c r="G5" s="11">
        <f t="shared" si="0"/>
        <v>0</v>
      </c>
      <c r="H5" s="12">
        <f t="shared" si="1"/>
        <v>0</v>
      </c>
      <c r="I5" s="12">
        <f t="shared" si="2"/>
        <v>5264</v>
      </c>
      <c r="J5" s="12" t="str">
        <f t="shared" si="3"/>
        <v>No</v>
      </c>
      <c r="K5" s="2" t="str">
        <f t="shared" si="4"/>
        <v>No</v>
      </c>
    </row>
    <row r="6" spans="1:25">
      <c r="A6" s="3">
        <v>2005</v>
      </c>
      <c r="B6" s="3" t="s">
        <v>12</v>
      </c>
      <c r="C6" s="3" t="s">
        <v>22</v>
      </c>
      <c r="D6" s="3" t="s">
        <v>23</v>
      </c>
      <c r="E6" s="3">
        <v>43388</v>
      </c>
      <c r="F6" s="6">
        <v>44931</v>
      </c>
      <c r="G6" s="11">
        <f t="shared" si="0"/>
        <v>0.1</v>
      </c>
      <c r="H6" s="12">
        <f t="shared" si="1"/>
        <v>4338.8</v>
      </c>
      <c r="I6" s="12">
        <f t="shared" si="2"/>
        <v>39049.199999999997</v>
      </c>
      <c r="J6" s="12" t="str">
        <f t="shared" si="3"/>
        <v>Yes</v>
      </c>
      <c r="K6" s="2" t="str">
        <f t="shared" si="4"/>
        <v>Yes</v>
      </c>
    </row>
    <row r="7" spans="1:25">
      <c r="A7" s="3">
        <v>2006</v>
      </c>
      <c r="B7" s="3" t="s">
        <v>18</v>
      </c>
      <c r="C7" s="3" t="s">
        <v>22</v>
      </c>
      <c r="D7" s="3" t="s">
        <v>24</v>
      </c>
      <c r="E7" s="3">
        <v>19757</v>
      </c>
      <c r="F7" s="6">
        <v>44932</v>
      </c>
      <c r="G7" s="11">
        <f t="shared" si="0"/>
        <v>0</v>
      </c>
      <c r="H7" s="12">
        <f t="shared" si="1"/>
        <v>0</v>
      </c>
      <c r="I7" s="12">
        <f t="shared" si="2"/>
        <v>19757</v>
      </c>
      <c r="J7" s="12" t="str">
        <f t="shared" si="3"/>
        <v>No</v>
      </c>
      <c r="K7" s="2" t="str">
        <f t="shared" si="4"/>
        <v>Yes</v>
      </c>
    </row>
    <row r="8" spans="1:25">
      <c r="A8" s="3">
        <v>2007</v>
      </c>
      <c r="B8" s="3" t="s">
        <v>18</v>
      </c>
      <c r="C8" s="3" t="s">
        <v>20</v>
      </c>
      <c r="D8" s="3" t="s">
        <v>25</v>
      </c>
      <c r="E8" s="3">
        <v>32058</v>
      </c>
      <c r="F8" s="6">
        <v>44933</v>
      </c>
      <c r="G8" s="11">
        <f t="shared" si="0"/>
        <v>0.05</v>
      </c>
      <c r="H8" s="12">
        <f t="shared" si="1"/>
        <v>1602.9</v>
      </c>
      <c r="I8" s="12">
        <f t="shared" si="2"/>
        <v>30455.1</v>
      </c>
      <c r="J8" s="12" t="str">
        <f t="shared" si="3"/>
        <v>No</v>
      </c>
      <c r="K8" s="2" t="str">
        <f t="shared" si="4"/>
        <v>No</v>
      </c>
    </row>
    <row r="9" spans="1:25">
      <c r="A9" s="3">
        <v>2008</v>
      </c>
      <c r="B9" s="3" t="s">
        <v>12</v>
      </c>
      <c r="C9" s="3" t="s">
        <v>20</v>
      </c>
      <c r="D9" s="3" t="s">
        <v>26</v>
      </c>
      <c r="E9" s="3">
        <v>46429</v>
      </c>
      <c r="F9" s="6">
        <v>44934</v>
      </c>
      <c r="G9" s="11">
        <f t="shared" si="0"/>
        <v>0.1</v>
      </c>
      <c r="H9" s="12">
        <f t="shared" si="1"/>
        <v>4642.9000000000005</v>
      </c>
      <c r="I9" s="12">
        <f t="shared" si="2"/>
        <v>41786.1</v>
      </c>
      <c r="J9" s="12" t="str">
        <f t="shared" si="3"/>
        <v>No</v>
      </c>
      <c r="K9" s="2" t="str">
        <f t="shared" si="4"/>
        <v>Yes</v>
      </c>
    </row>
    <row r="10" spans="1:25">
      <c r="A10" s="3">
        <v>2009</v>
      </c>
      <c r="B10" s="3" t="s">
        <v>15</v>
      </c>
      <c r="C10" s="3" t="s">
        <v>20</v>
      </c>
      <c r="D10" s="3" t="s">
        <v>27</v>
      </c>
      <c r="E10" s="3">
        <v>19746</v>
      </c>
      <c r="F10" s="6">
        <v>44935</v>
      </c>
      <c r="G10" s="11">
        <f t="shared" si="0"/>
        <v>0</v>
      </c>
      <c r="H10" s="12">
        <f t="shared" si="1"/>
        <v>0</v>
      </c>
      <c r="I10" s="12">
        <f t="shared" si="2"/>
        <v>19746</v>
      </c>
      <c r="J10" s="12" t="str">
        <f t="shared" si="3"/>
        <v>No</v>
      </c>
      <c r="K10" s="2" t="str">
        <f t="shared" si="4"/>
        <v>No</v>
      </c>
    </row>
    <row r="11" spans="1:25" ht="28.8">
      <c r="A11" s="3">
        <v>2010</v>
      </c>
      <c r="B11" s="3" t="s">
        <v>12</v>
      </c>
      <c r="C11" s="3" t="s">
        <v>13</v>
      </c>
      <c r="D11" s="3" t="s">
        <v>28</v>
      </c>
      <c r="E11" s="3">
        <v>35185</v>
      </c>
      <c r="F11" s="6">
        <v>44936</v>
      </c>
      <c r="G11" s="11">
        <f t="shared" si="0"/>
        <v>0.05</v>
      </c>
      <c r="H11" s="12">
        <f t="shared" si="1"/>
        <v>1759.25</v>
      </c>
      <c r="I11" s="12">
        <f t="shared" si="2"/>
        <v>33425.75</v>
      </c>
      <c r="J11" s="12" t="str">
        <f t="shared" si="3"/>
        <v>No</v>
      </c>
      <c r="K11" s="2" t="str">
        <f t="shared" si="4"/>
        <v>No</v>
      </c>
    </row>
    <row r="12" spans="1:25" ht="28.8">
      <c r="A12" s="3">
        <v>2011</v>
      </c>
      <c r="B12" s="3" t="s">
        <v>12</v>
      </c>
      <c r="C12" s="3" t="s">
        <v>20</v>
      </c>
      <c r="D12" s="3" t="s">
        <v>29</v>
      </c>
      <c r="E12" s="3">
        <v>33920</v>
      </c>
      <c r="F12" s="6">
        <v>44937</v>
      </c>
      <c r="G12" s="11">
        <f t="shared" si="0"/>
        <v>0.05</v>
      </c>
      <c r="H12" s="12">
        <f t="shared" si="1"/>
        <v>1696</v>
      </c>
      <c r="I12" s="12">
        <f t="shared" si="2"/>
        <v>32224</v>
      </c>
      <c r="J12" s="12" t="str">
        <f t="shared" si="3"/>
        <v>No</v>
      </c>
      <c r="K12" s="2" t="str">
        <f t="shared" si="4"/>
        <v>No</v>
      </c>
    </row>
    <row r="13" spans="1:25" ht="28.8">
      <c r="A13" s="3">
        <v>2012</v>
      </c>
      <c r="B13" s="3" t="s">
        <v>30</v>
      </c>
      <c r="C13" s="3" t="s">
        <v>22</v>
      </c>
      <c r="D13" s="3" t="s">
        <v>31</v>
      </c>
      <c r="E13" s="3">
        <v>35611</v>
      </c>
      <c r="F13" s="6">
        <v>44938</v>
      </c>
      <c r="G13" s="11">
        <f t="shared" si="0"/>
        <v>0.05</v>
      </c>
      <c r="H13" s="12">
        <f t="shared" si="1"/>
        <v>1780.5500000000002</v>
      </c>
      <c r="I13" s="12">
        <f t="shared" si="2"/>
        <v>33830.449999999997</v>
      </c>
      <c r="J13" s="12" t="str">
        <f t="shared" si="3"/>
        <v>Yes</v>
      </c>
      <c r="K13" s="2" t="str">
        <f t="shared" si="4"/>
        <v>Yes</v>
      </c>
    </row>
    <row r="14" spans="1:25" ht="28.8">
      <c r="A14" s="3">
        <v>2013</v>
      </c>
      <c r="B14" s="3" t="s">
        <v>32</v>
      </c>
      <c r="C14" s="3" t="s">
        <v>20</v>
      </c>
      <c r="D14" s="3" t="s">
        <v>33</v>
      </c>
      <c r="E14" s="3">
        <v>15560</v>
      </c>
      <c r="F14" s="6">
        <v>44939</v>
      </c>
      <c r="G14" s="11">
        <f t="shared" si="0"/>
        <v>0</v>
      </c>
      <c r="H14" s="12">
        <f t="shared" si="1"/>
        <v>0</v>
      </c>
      <c r="I14" s="12">
        <f t="shared" si="2"/>
        <v>15560</v>
      </c>
      <c r="J14" s="12" t="str">
        <f t="shared" si="3"/>
        <v>No</v>
      </c>
      <c r="K14" s="2" t="str">
        <f t="shared" si="4"/>
        <v>No</v>
      </c>
    </row>
    <row r="15" spans="1:25" ht="28.8">
      <c r="A15" s="3">
        <v>2014</v>
      </c>
      <c r="B15" s="3" t="s">
        <v>32</v>
      </c>
      <c r="C15" s="3" t="s">
        <v>13</v>
      </c>
      <c r="D15" s="3" t="s">
        <v>34</v>
      </c>
      <c r="E15" s="3">
        <v>7283</v>
      </c>
      <c r="F15" s="6">
        <v>44940</v>
      </c>
      <c r="G15" s="11">
        <f t="shared" si="0"/>
        <v>0</v>
      </c>
      <c r="H15" s="12">
        <f t="shared" si="1"/>
        <v>0</v>
      </c>
      <c r="I15" s="12">
        <f t="shared" si="2"/>
        <v>7283</v>
      </c>
      <c r="J15" s="12" t="str">
        <f t="shared" si="3"/>
        <v>No</v>
      </c>
      <c r="K15" s="2" t="str">
        <f t="shared" si="4"/>
        <v>No</v>
      </c>
    </row>
    <row r="16" spans="1:25" ht="28.8">
      <c r="A16" s="3">
        <v>2015</v>
      </c>
      <c r="B16" s="3" t="s">
        <v>32</v>
      </c>
      <c r="C16" s="3" t="s">
        <v>20</v>
      </c>
      <c r="D16" s="3" t="s">
        <v>35</v>
      </c>
      <c r="E16" s="3">
        <v>15678</v>
      </c>
      <c r="F16" s="6">
        <v>44941</v>
      </c>
      <c r="G16" s="11">
        <f t="shared" si="0"/>
        <v>0</v>
      </c>
      <c r="H16" s="12">
        <f t="shared" si="1"/>
        <v>0</v>
      </c>
      <c r="I16" s="12">
        <f t="shared" si="2"/>
        <v>15678</v>
      </c>
      <c r="J16" s="12" t="str">
        <f t="shared" si="3"/>
        <v>No</v>
      </c>
      <c r="K16" s="2" t="str">
        <f t="shared" si="4"/>
        <v>No</v>
      </c>
    </row>
    <row r="17" spans="1:11" ht="28.8">
      <c r="A17" s="3">
        <v>2016</v>
      </c>
      <c r="B17" s="3" t="s">
        <v>18</v>
      </c>
      <c r="C17" s="3" t="s">
        <v>20</v>
      </c>
      <c r="D17" s="3" t="s">
        <v>36</v>
      </c>
      <c r="E17" s="3">
        <v>5277</v>
      </c>
      <c r="F17" s="6">
        <v>44942</v>
      </c>
      <c r="G17" s="11">
        <f t="shared" si="0"/>
        <v>0</v>
      </c>
      <c r="H17" s="12">
        <f t="shared" si="1"/>
        <v>0</v>
      </c>
      <c r="I17" s="12">
        <f t="shared" si="2"/>
        <v>5277</v>
      </c>
      <c r="J17" s="12" t="str">
        <f t="shared" si="3"/>
        <v>No</v>
      </c>
      <c r="K17" s="2" t="str">
        <f t="shared" si="4"/>
        <v>No</v>
      </c>
    </row>
    <row r="18" spans="1:11" ht="28.8">
      <c r="A18" s="3">
        <v>2017</v>
      </c>
      <c r="B18" s="3" t="s">
        <v>30</v>
      </c>
      <c r="C18" s="3" t="s">
        <v>22</v>
      </c>
      <c r="D18" s="3" t="s">
        <v>37</v>
      </c>
      <c r="E18" s="3">
        <v>41871</v>
      </c>
      <c r="F18" s="6">
        <v>44943</v>
      </c>
      <c r="G18" s="11">
        <f t="shared" si="0"/>
        <v>0.1</v>
      </c>
      <c r="H18" s="12">
        <f t="shared" si="1"/>
        <v>4187.1000000000004</v>
      </c>
      <c r="I18" s="12">
        <f t="shared" si="2"/>
        <v>37683.9</v>
      </c>
      <c r="J18" s="12" t="str">
        <f t="shared" si="3"/>
        <v>Yes</v>
      </c>
      <c r="K18" s="2" t="str">
        <f t="shared" si="4"/>
        <v>Yes</v>
      </c>
    </row>
    <row r="19" spans="1:11" ht="28.8">
      <c r="A19" s="3">
        <v>2018</v>
      </c>
      <c r="B19" s="3" t="s">
        <v>30</v>
      </c>
      <c r="C19" s="3" t="s">
        <v>16</v>
      </c>
      <c r="D19" s="3" t="s">
        <v>38</v>
      </c>
      <c r="E19" s="3">
        <v>38161</v>
      </c>
      <c r="F19" s="6">
        <v>44944</v>
      </c>
      <c r="G19" s="11">
        <f t="shared" si="0"/>
        <v>0.05</v>
      </c>
      <c r="H19" s="12">
        <f t="shared" si="1"/>
        <v>1908.0500000000002</v>
      </c>
      <c r="I19" s="12">
        <f t="shared" si="2"/>
        <v>36252.949999999997</v>
      </c>
      <c r="J19" s="12" t="str">
        <f t="shared" si="3"/>
        <v>No</v>
      </c>
      <c r="K19" s="2" t="str">
        <f t="shared" si="4"/>
        <v>No</v>
      </c>
    </row>
    <row r="20" spans="1:11" ht="28.8">
      <c r="A20" s="3">
        <v>2019</v>
      </c>
      <c r="B20" s="3" t="s">
        <v>18</v>
      </c>
      <c r="C20" s="3" t="s">
        <v>16</v>
      </c>
      <c r="D20" s="3" t="s">
        <v>39</v>
      </c>
      <c r="E20" s="3">
        <v>30436</v>
      </c>
      <c r="F20" s="6">
        <v>44945</v>
      </c>
      <c r="G20" s="11">
        <f t="shared" si="0"/>
        <v>0.05</v>
      </c>
      <c r="H20" s="12">
        <f t="shared" si="1"/>
        <v>1521.8000000000002</v>
      </c>
      <c r="I20" s="12">
        <f t="shared" si="2"/>
        <v>28914.2</v>
      </c>
      <c r="J20" s="12" t="str">
        <f t="shared" si="3"/>
        <v>No</v>
      </c>
      <c r="K20" s="2" t="str">
        <f t="shared" si="4"/>
        <v>No</v>
      </c>
    </row>
    <row r="21" spans="1:11" ht="28.8">
      <c r="A21" s="3">
        <v>2020</v>
      </c>
      <c r="B21" s="3" t="s">
        <v>15</v>
      </c>
      <c r="C21" s="3" t="s">
        <v>16</v>
      </c>
      <c r="D21" s="3" t="s">
        <v>40</v>
      </c>
      <c r="E21" s="3">
        <v>33953</v>
      </c>
      <c r="F21" s="6">
        <v>44946</v>
      </c>
      <c r="G21" s="11">
        <f t="shared" si="0"/>
        <v>0.05</v>
      </c>
      <c r="H21" s="12">
        <f t="shared" si="1"/>
        <v>1697.65</v>
      </c>
      <c r="I21" s="12">
        <f t="shared" si="2"/>
        <v>32255.35</v>
      </c>
      <c r="J21" s="12" t="str">
        <f t="shared" si="3"/>
        <v>No</v>
      </c>
      <c r="K21" s="2" t="str">
        <f t="shared" si="4"/>
        <v>No</v>
      </c>
    </row>
    <row r="23" spans="1:11">
      <c r="A23" s="9"/>
    </row>
    <row r="24" spans="1:11">
      <c r="A24" t="s">
        <v>85</v>
      </c>
    </row>
    <row r="28" spans="1:11">
      <c r="A28" s="10" t="s">
        <v>82</v>
      </c>
      <c r="B28" s="10" t="s">
        <v>83</v>
      </c>
    </row>
    <row r="29" spans="1:11">
      <c r="A29" s="2" t="s">
        <v>12</v>
      </c>
      <c r="B29" s="2">
        <v>1200</v>
      </c>
    </row>
    <row r="30" spans="1:11">
      <c r="A30" s="2" t="s">
        <v>18</v>
      </c>
      <c r="B30" s="2">
        <v>600</v>
      </c>
    </row>
    <row r="31" spans="1:11">
      <c r="A31" s="2" t="s">
        <v>30</v>
      </c>
      <c r="B31" s="2">
        <v>9500</v>
      </c>
    </row>
    <row r="32" spans="1:11">
      <c r="A32" s="2" t="s">
        <v>15</v>
      </c>
      <c r="B32" s="2">
        <v>6800</v>
      </c>
    </row>
    <row r="33" spans="1:2">
      <c r="A33" s="2" t="s">
        <v>32</v>
      </c>
      <c r="B33" s="2">
        <v>45000</v>
      </c>
    </row>
    <row r="35" spans="1:2">
      <c r="A35" s="10" t="s">
        <v>84</v>
      </c>
      <c r="B35" s="10" t="s">
        <v>83</v>
      </c>
    </row>
    <row r="36" spans="1:2">
      <c r="A36" s="2" t="s">
        <v>86</v>
      </c>
      <c r="B36" s="2">
        <f>IFERROR(VLOOKUP(A36,A29:B33,2,FALSE),"Not Found")</f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A29E-8CB9-49C5-9B2C-B83202BE0C90}">
  <dimension ref="A1:N21"/>
  <sheetViews>
    <sheetView tabSelected="1" zoomScale="63" zoomScaleNormal="81" workbookViewId="0">
      <selection activeCell="I13" sqref="I13"/>
    </sheetView>
  </sheetViews>
  <sheetFormatPr defaultRowHeight="14.4"/>
  <cols>
    <col min="5" max="5" width="15.44140625" bestFit="1" customWidth="1"/>
    <col min="8" max="9" width="24.21875" customWidth="1"/>
    <col min="10" max="10" width="18.44140625" customWidth="1"/>
    <col min="12" max="12" width="6.77734375" customWidth="1"/>
    <col min="13" max="13" width="11.6640625" customWidth="1"/>
    <col min="16" max="16" width="11.109375" customWidth="1"/>
  </cols>
  <sheetData>
    <row r="1" spans="1:14" ht="41.4" customHeight="1">
      <c r="A1" s="35" t="s">
        <v>41</v>
      </c>
      <c r="B1" s="36" t="s">
        <v>1</v>
      </c>
      <c r="C1" s="36" t="s">
        <v>42</v>
      </c>
      <c r="D1" s="36" t="s">
        <v>43</v>
      </c>
      <c r="E1" s="36" t="s">
        <v>44</v>
      </c>
      <c r="F1" s="37" t="s">
        <v>78</v>
      </c>
      <c r="G1" s="36" t="s">
        <v>119</v>
      </c>
      <c r="H1" s="38" t="s">
        <v>120</v>
      </c>
      <c r="I1" s="48"/>
      <c r="J1" s="23" t="s">
        <v>121</v>
      </c>
      <c r="K1" s="24">
        <v>3001</v>
      </c>
      <c r="M1" s="23" t="s">
        <v>41</v>
      </c>
      <c r="N1" s="24">
        <v>3005</v>
      </c>
    </row>
    <row r="2" spans="1:14" ht="28.8">
      <c r="A2" s="39">
        <v>3001</v>
      </c>
      <c r="B2" s="33" t="s">
        <v>45</v>
      </c>
      <c r="C2" s="33" t="s">
        <v>46</v>
      </c>
      <c r="D2" s="33">
        <v>86766</v>
      </c>
      <c r="E2" s="34">
        <v>42005</v>
      </c>
      <c r="F2" s="27">
        <f>ROUND(D2*0.1,-2)</f>
        <v>8700</v>
      </c>
      <c r="G2" s="27">
        <f ca="1">ROUND((TODAY()-E2)/365,1)</f>
        <v>11.7</v>
      </c>
      <c r="H2" s="40">
        <f ca="1">TODAY()-E2</f>
        <v>4258</v>
      </c>
      <c r="I2" s="49"/>
      <c r="J2" s="30" t="s">
        <v>122</v>
      </c>
      <c r="K2" s="31">
        <v>3010</v>
      </c>
      <c r="M2" s="30" t="s">
        <v>42</v>
      </c>
      <c r="N2" s="31" t="str">
        <f>INDEX(C2:C21,MATCH(N1,A2:A21,0))</f>
        <v>IT</v>
      </c>
    </row>
    <row r="3" spans="1:14" ht="29.4" thickBot="1">
      <c r="A3" s="39">
        <v>3002</v>
      </c>
      <c r="B3" s="33" t="s">
        <v>47</v>
      </c>
      <c r="C3" s="33" t="s">
        <v>46</v>
      </c>
      <c r="D3" s="33">
        <v>31943</v>
      </c>
      <c r="E3" s="34">
        <v>42006</v>
      </c>
      <c r="F3" s="27">
        <f t="shared" ref="F3:F21" si="0">ROUND(D3*0.1,-2)</f>
        <v>3200</v>
      </c>
      <c r="G3" s="27">
        <f t="shared" ref="G3:G21" ca="1" si="1">ROUND((TODAY()-E3)/365,1)</f>
        <v>11.7</v>
      </c>
      <c r="H3" s="40">
        <f t="shared" ref="H3:H21" ca="1" si="2">TODAY()-E3</f>
        <v>4257</v>
      </c>
      <c r="I3" s="50"/>
      <c r="J3" s="25" t="s">
        <v>123</v>
      </c>
      <c r="K3" s="26">
        <f>ABS(VLOOKUP(K2,A2:E21,5,FALSE)-VLOOKUP(K1,A2:E21,5,FALSE))</f>
        <v>9</v>
      </c>
      <c r="M3" s="25" t="s">
        <v>43</v>
      </c>
      <c r="N3" s="26">
        <f>INDEX(D2:D21,MATCH(N1,A2:A21,0))</f>
        <v>54149</v>
      </c>
    </row>
    <row r="4" spans="1:14" ht="28.8">
      <c r="A4" s="39">
        <v>3003</v>
      </c>
      <c r="B4" s="33" t="s">
        <v>48</v>
      </c>
      <c r="C4" s="33" t="s">
        <v>49</v>
      </c>
      <c r="D4" s="33">
        <v>63374</v>
      </c>
      <c r="E4" s="34">
        <v>42007</v>
      </c>
      <c r="F4" s="27">
        <f t="shared" si="0"/>
        <v>6300</v>
      </c>
      <c r="G4" s="27">
        <f t="shared" ca="1" si="1"/>
        <v>11.7</v>
      </c>
      <c r="H4" s="40">
        <f t="shared" ca="1" si="2"/>
        <v>4256</v>
      </c>
      <c r="I4" s="13"/>
      <c r="K4" s="21"/>
    </row>
    <row r="5" spans="1:14" ht="28.8">
      <c r="A5" s="39">
        <v>3004</v>
      </c>
      <c r="B5" s="33" t="s">
        <v>50</v>
      </c>
      <c r="C5" s="33" t="s">
        <v>46</v>
      </c>
      <c r="D5" s="33">
        <v>109972</v>
      </c>
      <c r="E5" s="34">
        <v>42008</v>
      </c>
      <c r="F5" s="27">
        <f t="shared" si="0"/>
        <v>11000</v>
      </c>
      <c r="G5" s="27">
        <f t="shared" ca="1" si="1"/>
        <v>11.7</v>
      </c>
      <c r="H5" s="40">
        <f t="shared" ca="1" si="2"/>
        <v>4255</v>
      </c>
      <c r="I5" s="13"/>
    </row>
    <row r="6" spans="1:14" ht="28.8">
      <c r="A6" s="39">
        <v>3005</v>
      </c>
      <c r="B6" s="33" t="s">
        <v>51</v>
      </c>
      <c r="C6" s="33" t="s">
        <v>52</v>
      </c>
      <c r="D6" s="33">
        <v>54149</v>
      </c>
      <c r="E6" s="34">
        <v>42009</v>
      </c>
      <c r="F6" s="27">
        <f t="shared" si="0"/>
        <v>5400</v>
      </c>
      <c r="G6" s="27">
        <f t="shared" ca="1" si="1"/>
        <v>11.7</v>
      </c>
      <c r="H6" s="40">
        <f t="shared" ca="1" si="2"/>
        <v>4254</v>
      </c>
      <c r="I6" s="13"/>
    </row>
    <row r="7" spans="1:14" ht="28.8">
      <c r="A7" s="39">
        <v>3006</v>
      </c>
      <c r="B7" s="33" t="s">
        <v>53</v>
      </c>
      <c r="C7" s="33" t="s">
        <v>52</v>
      </c>
      <c r="D7" s="33">
        <v>78689</v>
      </c>
      <c r="E7" s="34">
        <v>42010</v>
      </c>
      <c r="F7" s="27">
        <f t="shared" si="0"/>
        <v>7900</v>
      </c>
      <c r="G7" s="27">
        <f t="shared" ca="1" si="1"/>
        <v>11.7</v>
      </c>
      <c r="H7" s="40">
        <f t="shared" ca="1" si="2"/>
        <v>4253</v>
      </c>
      <c r="I7" s="13"/>
    </row>
    <row r="8" spans="1:14" ht="28.8">
      <c r="A8" s="39">
        <v>3007</v>
      </c>
      <c r="B8" s="33" t="s">
        <v>54</v>
      </c>
      <c r="C8" s="33" t="s">
        <v>55</v>
      </c>
      <c r="D8" s="33">
        <v>35960</v>
      </c>
      <c r="E8" s="34">
        <v>42011</v>
      </c>
      <c r="F8" s="27">
        <f t="shared" si="0"/>
        <v>3600</v>
      </c>
      <c r="G8" s="27">
        <f t="shared" ca="1" si="1"/>
        <v>11.6</v>
      </c>
      <c r="H8" s="40">
        <f t="shared" ca="1" si="2"/>
        <v>4252</v>
      </c>
      <c r="I8" s="13"/>
      <c r="N8" s="51"/>
    </row>
    <row r="9" spans="1:14" ht="28.8">
      <c r="A9" s="39">
        <v>3008</v>
      </c>
      <c r="B9" s="33" t="s">
        <v>56</v>
      </c>
      <c r="C9" s="33" t="s">
        <v>52</v>
      </c>
      <c r="D9" s="33">
        <v>91659</v>
      </c>
      <c r="E9" s="34">
        <v>42012</v>
      </c>
      <c r="F9" s="27">
        <f t="shared" si="0"/>
        <v>9200</v>
      </c>
      <c r="G9" s="27">
        <f t="shared" ca="1" si="1"/>
        <v>11.6</v>
      </c>
      <c r="H9" s="40">
        <f t="shared" ca="1" si="2"/>
        <v>4251</v>
      </c>
      <c r="I9" s="13"/>
    </row>
    <row r="10" spans="1:14" ht="28.8">
      <c r="A10" s="39">
        <v>3009</v>
      </c>
      <c r="B10" s="33" t="s">
        <v>57</v>
      </c>
      <c r="C10" s="33" t="s">
        <v>52</v>
      </c>
      <c r="D10" s="33">
        <v>90423</v>
      </c>
      <c r="E10" s="34">
        <v>42013</v>
      </c>
      <c r="F10" s="27">
        <f t="shared" si="0"/>
        <v>9000</v>
      </c>
      <c r="G10" s="27">
        <f t="shared" ca="1" si="1"/>
        <v>11.6</v>
      </c>
      <c r="H10" s="40">
        <f t="shared" ca="1" si="2"/>
        <v>4250</v>
      </c>
      <c r="I10" s="13"/>
    </row>
    <row r="11" spans="1:14" ht="28.8">
      <c r="A11" s="39">
        <v>3010</v>
      </c>
      <c r="B11" s="33" t="s">
        <v>58</v>
      </c>
      <c r="C11" s="33" t="s">
        <v>49</v>
      </c>
      <c r="D11" s="33">
        <v>107877</v>
      </c>
      <c r="E11" s="34">
        <v>42014</v>
      </c>
      <c r="F11" s="27">
        <f t="shared" si="0"/>
        <v>10800</v>
      </c>
      <c r="G11" s="27">
        <f t="shared" ca="1" si="1"/>
        <v>11.6</v>
      </c>
      <c r="H11" s="40">
        <f t="shared" ca="1" si="2"/>
        <v>4249</v>
      </c>
      <c r="I11" s="13"/>
    </row>
    <row r="12" spans="1:14" ht="28.8">
      <c r="A12" s="39">
        <v>3011</v>
      </c>
      <c r="B12" s="33" t="s">
        <v>59</v>
      </c>
      <c r="C12" s="33" t="s">
        <v>46</v>
      </c>
      <c r="D12" s="33">
        <v>107634</v>
      </c>
      <c r="E12" s="34">
        <v>42015</v>
      </c>
      <c r="F12" s="27">
        <f t="shared" si="0"/>
        <v>10800</v>
      </c>
      <c r="G12" s="27">
        <f t="shared" ca="1" si="1"/>
        <v>11.6</v>
      </c>
      <c r="H12" s="40">
        <f t="shared" ca="1" si="2"/>
        <v>4248</v>
      </c>
      <c r="I12" s="13"/>
    </row>
    <row r="13" spans="1:14" ht="28.8">
      <c r="A13" s="39">
        <v>3012</v>
      </c>
      <c r="B13" s="33" t="s">
        <v>60</v>
      </c>
      <c r="C13" s="33" t="s">
        <v>46</v>
      </c>
      <c r="D13" s="33">
        <v>35226</v>
      </c>
      <c r="E13" s="34">
        <v>42016</v>
      </c>
      <c r="F13" s="27">
        <f t="shared" si="0"/>
        <v>3500</v>
      </c>
      <c r="G13" s="27">
        <f t="shared" ca="1" si="1"/>
        <v>11.6</v>
      </c>
      <c r="H13" s="40">
        <f t="shared" ca="1" si="2"/>
        <v>4247</v>
      </c>
      <c r="I13" s="13"/>
    </row>
    <row r="14" spans="1:14" ht="28.8">
      <c r="A14" s="39">
        <v>3013</v>
      </c>
      <c r="B14" s="33" t="s">
        <v>61</v>
      </c>
      <c r="C14" s="33" t="s">
        <v>49</v>
      </c>
      <c r="D14" s="33">
        <v>40872</v>
      </c>
      <c r="E14" s="34">
        <v>42017</v>
      </c>
      <c r="F14" s="27">
        <f t="shared" si="0"/>
        <v>4100</v>
      </c>
      <c r="G14" s="27">
        <f t="shared" ca="1" si="1"/>
        <v>11.6</v>
      </c>
      <c r="H14" s="40">
        <f t="shared" ca="1" si="2"/>
        <v>4246</v>
      </c>
      <c r="I14" s="13"/>
    </row>
    <row r="15" spans="1:14" ht="28.8">
      <c r="A15" s="39">
        <v>3014</v>
      </c>
      <c r="B15" s="33" t="s">
        <v>62</v>
      </c>
      <c r="C15" s="33" t="s">
        <v>49</v>
      </c>
      <c r="D15" s="33">
        <v>55378</v>
      </c>
      <c r="E15" s="34">
        <v>42018</v>
      </c>
      <c r="F15" s="27">
        <f t="shared" si="0"/>
        <v>5500</v>
      </c>
      <c r="G15" s="27">
        <f t="shared" ca="1" si="1"/>
        <v>11.6</v>
      </c>
      <c r="H15" s="40">
        <f t="shared" ca="1" si="2"/>
        <v>4245</v>
      </c>
      <c r="I15" s="13"/>
    </row>
    <row r="16" spans="1:14" ht="28.8">
      <c r="A16" s="39">
        <v>3015</v>
      </c>
      <c r="B16" s="33" t="s">
        <v>63</v>
      </c>
      <c r="C16" s="33" t="s">
        <v>49</v>
      </c>
      <c r="D16" s="33">
        <v>63297</v>
      </c>
      <c r="E16" s="34">
        <v>42019</v>
      </c>
      <c r="F16" s="27">
        <f t="shared" si="0"/>
        <v>6300</v>
      </c>
      <c r="G16" s="27">
        <f t="shared" ca="1" si="1"/>
        <v>11.6</v>
      </c>
      <c r="H16" s="40">
        <f t="shared" ca="1" si="2"/>
        <v>4244</v>
      </c>
      <c r="I16" s="13"/>
    </row>
    <row r="17" spans="1:9" ht="28.8">
      <c r="A17" s="39">
        <v>3016</v>
      </c>
      <c r="B17" s="33" t="s">
        <v>64</v>
      </c>
      <c r="C17" s="33" t="s">
        <v>46</v>
      </c>
      <c r="D17" s="33">
        <v>114173</v>
      </c>
      <c r="E17" s="34">
        <v>42020</v>
      </c>
      <c r="F17" s="27">
        <f t="shared" si="0"/>
        <v>11400</v>
      </c>
      <c r="G17" s="27">
        <f t="shared" ca="1" si="1"/>
        <v>11.6</v>
      </c>
      <c r="H17" s="40">
        <f t="shared" ca="1" si="2"/>
        <v>4243</v>
      </c>
      <c r="I17" s="13"/>
    </row>
    <row r="18" spans="1:9" ht="28.8">
      <c r="A18" s="39">
        <v>3017</v>
      </c>
      <c r="B18" s="33" t="s">
        <v>65</v>
      </c>
      <c r="C18" s="33" t="s">
        <v>49</v>
      </c>
      <c r="D18" s="33">
        <v>86915</v>
      </c>
      <c r="E18" s="34">
        <v>42021</v>
      </c>
      <c r="F18" s="27">
        <f t="shared" si="0"/>
        <v>8700</v>
      </c>
      <c r="G18" s="27">
        <f t="shared" ca="1" si="1"/>
        <v>11.6</v>
      </c>
      <c r="H18" s="40">
        <f t="shared" ca="1" si="2"/>
        <v>4242</v>
      </c>
      <c r="I18" s="13"/>
    </row>
    <row r="19" spans="1:9" ht="28.8">
      <c r="A19" s="39">
        <v>3018</v>
      </c>
      <c r="B19" s="33" t="s">
        <v>66</v>
      </c>
      <c r="C19" s="33" t="s">
        <v>52</v>
      </c>
      <c r="D19" s="33">
        <v>116284</v>
      </c>
      <c r="E19" s="34">
        <v>42022</v>
      </c>
      <c r="F19" s="27">
        <f t="shared" si="0"/>
        <v>11600</v>
      </c>
      <c r="G19" s="27">
        <f t="shared" ca="1" si="1"/>
        <v>11.6</v>
      </c>
      <c r="H19" s="40">
        <f t="shared" ca="1" si="2"/>
        <v>4241</v>
      </c>
      <c r="I19" s="13"/>
    </row>
    <row r="20" spans="1:9" ht="28.8">
      <c r="A20" s="39">
        <v>3019</v>
      </c>
      <c r="B20" s="33" t="s">
        <v>67</v>
      </c>
      <c r="C20" s="33" t="s">
        <v>55</v>
      </c>
      <c r="D20" s="33">
        <v>116283</v>
      </c>
      <c r="E20" s="34">
        <v>42023</v>
      </c>
      <c r="F20" s="27">
        <f t="shared" si="0"/>
        <v>11600</v>
      </c>
      <c r="G20" s="27">
        <f t="shared" ca="1" si="1"/>
        <v>11.6</v>
      </c>
      <c r="H20" s="40">
        <f t="shared" ca="1" si="2"/>
        <v>4240</v>
      </c>
      <c r="I20" s="13"/>
    </row>
    <row r="21" spans="1:9" ht="29.4" thickBot="1">
      <c r="A21" s="41">
        <v>3020</v>
      </c>
      <c r="B21" s="42" t="s">
        <v>68</v>
      </c>
      <c r="C21" s="42" t="s">
        <v>55</v>
      </c>
      <c r="D21" s="42">
        <v>99924</v>
      </c>
      <c r="E21" s="43">
        <v>42024</v>
      </c>
      <c r="F21" s="44">
        <f t="shared" si="0"/>
        <v>10000</v>
      </c>
      <c r="G21" s="44">
        <f t="shared" ca="1" si="1"/>
        <v>11.6</v>
      </c>
      <c r="H21" s="29">
        <f t="shared" ca="1" si="2"/>
        <v>4239</v>
      </c>
      <c r="I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STUDENTS_GRADE</vt:lpstr>
      <vt:lpstr>SALES_DATA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KRINAL DHOLAKIYA</dc:creator>
  <cp:lastModifiedBy>KRINAL DHOLAKIYA</cp:lastModifiedBy>
  <dcterms:created xsi:type="dcterms:W3CDTF">2026-08-26T03:42:33Z</dcterms:created>
  <dcterms:modified xsi:type="dcterms:W3CDTF">2026-08-29T06:14:09Z</dcterms:modified>
</cp:coreProperties>
</file>