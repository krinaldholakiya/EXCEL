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EXCEL\FINAL PROJECT\"/>
    </mc:Choice>
  </mc:AlternateContent>
  <xr:revisionPtr revIDLastSave="0" documentId="13_ncr:1_{0D3BEA19-2451-43A7-88F7-14CCE137DF76}" xr6:coauthVersionLast="47" xr6:coauthVersionMax="47" xr10:uidLastSave="{00000000-0000-0000-0000-000000000000}"/>
  <bookViews>
    <workbookView xWindow="-96" yWindow="0" windowWidth="14016" windowHeight="13776" firstSheet="1" activeTab="3" xr2:uid="{06E107D9-459F-405F-8A82-FF46F5ED871D}"/>
  </bookViews>
  <sheets>
    <sheet name="Raw Data" sheetId="1" r:id="rId1"/>
    <sheet name="Analysis" sheetId="2" r:id="rId2"/>
    <sheet name="Customer Analysis" sheetId="3" r:id="rId3"/>
    <sheet name="Scenario Summary" sheetId="9" r:id="rId4"/>
    <sheet name="What-If &amp; Regression" sheetId="4" r:id="rId5"/>
    <sheet name="Pivot Analysis" sheetId="5" r:id="rId6"/>
    <sheet name="Visualizations" sheetId="6" r:id="rId7"/>
    <sheet name="Dashboard" sheetId="7" r:id="rId8"/>
    <sheet name="Final Report" sheetId="8" r:id="rId9"/>
  </sheets>
  <definedNames>
    <definedName name="NativeTimeline_Date">#N/A</definedName>
    <definedName name="Slicer_Category">#N/A</definedName>
    <definedName name="Slicer_Months__Date">#N/A</definedName>
    <definedName name="Slicer_Product_Name">#N/A</definedName>
    <definedName name="Slicer_Region">#N/A</definedName>
  </definedNames>
  <calcPr calcId="191029" iterate="1"/>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7" l="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B8" i="8"/>
  <c r="B7" i="8"/>
  <c r="B6" i="8"/>
  <c r="B5" i="8"/>
  <c r="P9" i="7"/>
  <c r="N9" i="7"/>
  <c r="P6" i="7"/>
  <c r="R26" i="7"/>
  <c r="R21" i="7"/>
  <c r="R15" i="7"/>
  <c r="R9" i="7"/>
  <c r="B3" i="4" l="1"/>
  <c r="B5" i="4" s="1"/>
  <c r="A4" i="3" a="1"/>
  <c r="A4" i="3" s="1"/>
  <c r="C4" i="3" s="1"/>
  <c r="N4" i="2"/>
  <c r="H10" i="2"/>
  <c r="J23" i="2"/>
  <c r="J24" i="2"/>
  <c r="J25" i="2"/>
  <c r="J26" i="2"/>
  <c r="J22" i="2"/>
  <c r="I23" i="2"/>
  <c r="I24" i="2"/>
  <c r="I25" i="2"/>
  <c r="I26" i="2"/>
  <c r="I22" i="2"/>
  <c r="H23" i="2"/>
  <c r="H24" i="2"/>
  <c r="H25" i="2"/>
  <c r="H26" i="2"/>
  <c r="H22" i="2"/>
  <c r="I7" i="2"/>
  <c r="J7" i="2" s="1"/>
  <c r="I8" i="2"/>
  <c r="J8" i="2" s="1"/>
  <c r="I9" i="2"/>
  <c r="J9" i="2" s="1"/>
  <c r="I10" i="2"/>
  <c r="J10" i="2" s="1"/>
  <c r="I11" i="2"/>
  <c r="J11" i="2" s="1"/>
  <c r="I12" i="2"/>
  <c r="J12" i="2" s="1"/>
  <c r="I13" i="2"/>
  <c r="J13" i="2" s="1"/>
  <c r="I14" i="2"/>
  <c r="J14" i="2" s="1"/>
  <c r="I15" i="2"/>
  <c r="J15" i="2" s="1"/>
  <c r="I6" i="2"/>
  <c r="J6" i="2" s="1"/>
  <c r="H7" i="2"/>
  <c r="H8" i="2"/>
  <c r="H9" i="2"/>
  <c r="H11" i="2"/>
  <c r="H12" i="2"/>
  <c r="H13" i="2"/>
  <c r="H14" i="2"/>
  <c r="H15" i="2"/>
  <c r="H6" i="2"/>
  <c r="D15" i="2" a="1"/>
  <c r="D15" i="2" s="1"/>
  <c r="A15" i="2" a="1"/>
  <c r="A15" i="2" s="1"/>
  <c r="R217" i="1"/>
  <c r="R182" i="1" s="1"/>
  <c r="R147" i="1" s="1"/>
  <c r="R112" i="1" s="1"/>
  <c r="R77" i="1" s="1"/>
  <c r="R42" i="1" s="1"/>
  <c r="R7" i="1" s="1"/>
  <c r="R218" i="1"/>
  <c r="R183" i="1" s="1"/>
  <c r="R148" i="1" s="1"/>
  <c r="R113" i="1" s="1"/>
  <c r="R78" i="1" s="1"/>
  <c r="R43" i="1" s="1"/>
  <c r="R8" i="1" s="1"/>
  <c r="R219" i="1"/>
  <c r="R184" i="1" s="1"/>
  <c r="R149" i="1" s="1"/>
  <c r="R114" i="1" s="1"/>
  <c r="R79" i="1" s="1"/>
  <c r="R44" i="1" s="1"/>
  <c r="R9" i="1" s="1"/>
  <c r="R220" i="1"/>
  <c r="R185" i="1" s="1"/>
  <c r="R150" i="1" s="1"/>
  <c r="R115" i="1" s="1"/>
  <c r="R80" i="1" s="1"/>
  <c r="R45" i="1" s="1"/>
  <c r="R10" i="1" s="1"/>
  <c r="R221" i="1"/>
  <c r="R186" i="1" s="1"/>
  <c r="R151" i="1" s="1"/>
  <c r="R116" i="1" s="1"/>
  <c r="R81" i="1" s="1"/>
  <c r="R46" i="1" s="1"/>
  <c r="R11" i="1" s="1"/>
  <c r="R222" i="1"/>
  <c r="R187" i="1" s="1"/>
  <c r="R152" i="1" s="1"/>
  <c r="R117" i="1" s="1"/>
  <c r="R82" i="1" s="1"/>
  <c r="R47" i="1" s="1"/>
  <c r="R12" i="1" s="1"/>
  <c r="R223" i="1"/>
  <c r="R188" i="1" s="1"/>
  <c r="R153" i="1" s="1"/>
  <c r="R118" i="1" s="1"/>
  <c r="R83" i="1" s="1"/>
  <c r="R48" i="1" s="1"/>
  <c r="R13" i="1" s="1"/>
  <c r="R224" i="1"/>
  <c r="R189" i="1" s="1"/>
  <c r="R154" i="1" s="1"/>
  <c r="R119" i="1" s="1"/>
  <c r="R84" i="1" s="1"/>
  <c r="R49" i="1" s="1"/>
  <c r="R14" i="1" s="1"/>
  <c r="R225" i="1"/>
  <c r="R190" i="1" s="1"/>
  <c r="R155" i="1" s="1"/>
  <c r="R120" i="1" s="1"/>
  <c r="R85" i="1" s="1"/>
  <c r="R50" i="1" s="1"/>
  <c r="R15" i="1" s="1"/>
  <c r="R226" i="1"/>
  <c r="R191" i="1" s="1"/>
  <c r="R156" i="1" s="1"/>
  <c r="R121" i="1" s="1"/>
  <c r="R86" i="1" s="1"/>
  <c r="R51" i="1" s="1"/>
  <c r="R16" i="1" s="1"/>
  <c r="R227" i="1"/>
  <c r="R192" i="1" s="1"/>
  <c r="R157" i="1" s="1"/>
  <c r="R122" i="1" s="1"/>
  <c r="R87" i="1" s="1"/>
  <c r="R52" i="1" s="1"/>
  <c r="R17" i="1" s="1"/>
  <c r="R228" i="1"/>
  <c r="R193" i="1" s="1"/>
  <c r="R158" i="1" s="1"/>
  <c r="R123" i="1" s="1"/>
  <c r="R88" i="1" s="1"/>
  <c r="R53" i="1" s="1"/>
  <c r="R18" i="1" s="1"/>
  <c r="R229" i="1"/>
  <c r="R194" i="1" s="1"/>
  <c r="R159" i="1" s="1"/>
  <c r="R124" i="1" s="1"/>
  <c r="R89" i="1" s="1"/>
  <c r="R54" i="1" s="1"/>
  <c r="R19" i="1" s="1"/>
  <c r="R230" i="1"/>
  <c r="R195" i="1" s="1"/>
  <c r="R160" i="1" s="1"/>
  <c r="R125" i="1" s="1"/>
  <c r="R90" i="1" s="1"/>
  <c r="R55" i="1" s="1"/>
  <c r="R20" i="1" s="1"/>
  <c r="R231" i="1"/>
  <c r="R196" i="1" s="1"/>
  <c r="R161" i="1" s="1"/>
  <c r="R126" i="1" s="1"/>
  <c r="R91" i="1" s="1"/>
  <c r="R56" i="1" s="1"/>
  <c r="R21" i="1" s="1"/>
  <c r="R232" i="1"/>
  <c r="R197" i="1" s="1"/>
  <c r="R162" i="1" s="1"/>
  <c r="R127" i="1" s="1"/>
  <c r="R92" i="1" s="1"/>
  <c r="R57" i="1" s="1"/>
  <c r="R22" i="1" s="1"/>
  <c r="R233" i="1"/>
  <c r="R198" i="1" s="1"/>
  <c r="R163" i="1" s="1"/>
  <c r="R128" i="1" s="1"/>
  <c r="R93" i="1" s="1"/>
  <c r="R58" i="1" s="1"/>
  <c r="R23" i="1" s="1"/>
  <c r="R234" i="1"/>
  <c r="R199" i="1" s="1"/>
  <c r="R164" i="1" s="1"/>
  <c r="R129" i="1" s="1"/>
  <c r="R94" i="1" s="1"/>
  <c r="R59" i="1" s="1"/>
  <c r="R24" i="1" s="1"/>
  <c r="R235" i="1"/>
  <c r="R200" i="1" s="1"/>
  <c r="R165" i="1" s="1"/>
  <c r="R130" i="1" s="1"/>
  <c r="R95" i="1" s="1"/>
  <c r="R60" i="1" s="1"/>
  <c r="R25" i="1" s="1"/>
  <c r="R236" i="1"/>
  <c r="R201" i="1" s="1"/>
  <c r="R166" i="1" s="1"/>
  <c r="R131" i="1" s="1"/>
  <c r="R96" i="1" s="1"/>
  <c r="R61" i="1" s="1"/>
  <c r="R26" i="1" s="1"/>
  <c r="R237" i="1"/>
  <c r="R202" i="1" s="1"/>
  <c r="R167" i="1" s="1"/>
  <c r="R132" i="1" s="1"/>
  <c r="R97" i="1" s="1"/>
  <c r="R62" i="1" s="1"/>
  <c r="R27" i="1" s="1"/>
  <c r="R238" i="1"/>
  <c r="R203" i="1" s="1"/>
  <c r="R168" i="1" s="1"/>
  <c r="R133" i="1" s="1"/>
  <c r="R98" i="1" s="1"/>
  <c r="R63" i="1" s="1"/>
  <c r="R28" i="1" s="1"/>
  <c r="R239" i="1"/>
  <c r="R204" i="1" s="1"/>
  <c r="R169" i="1" s="1"/>
  <c r="R134" i="1" s="1"/>
  <c r="R99" i="1" s="1"/>
  <c r="R64" i="1" s="1"/>
  <c r="R29" i="1" s="1"/>
  <c r="R240" i="1"/>
  <c r="R205" i="1" s="1"/>
  <c r="R170" i="1" s="1"/>
  <c r="R135" i="1" s="1"/>
  <c r="R100" i="1" s="1"/>
  <c r="R65" i="1" s="1"/>
  <c r="R30" i="1" s="1"/>
  <c r="R241" i="1"/>
  <c r="R206" i="1" s="1"/>
  <c r="R171" i="1" s="1"/>
  <c r="R136" i="1" s="1"/>
  <c r="R101" i="1" s="1"/>
  <c r="R66" i="1" s="1"/>
  <c r="R31" i="1" s="1"/>
  <c r="R242" i="1"/>
  <c r="R207" i="1" s="1"/>
  <c r="R172" i="1" s="1"/>
  <c r="R137" i="1" s="1"/>
  <c r="R102" i="1" s="1"/>
  <c r="R67" i="1" s="1"/>
  <c r="R32" i="1" s="1"/>
  <c r="R243" i="1"/>
  <c r="R208" i="1" s="1"/>
  <c r="R173" i="1" s="1"/>
  <c r="R138" i="1" s="1"/>
  <c r="R103" i="1" s="1"/>
  <c r="R68" i="1" s="1"/>
  <c r="R33" i="1" s="1"/>
  <c r="R244" i="1"/>
  <c r="R209" i="1" s="1"/>
  <c r="R174" i="1" s="1"/>
  <c r="R139" i="1" s="1"/>
  <c r="R104" i="1" s="1"/>
  <c r="R69" i="1" s="1"/>
  <c r="R34" i="1" s="1"/>
  <c r="R245" i="1"/>
  <c r="R210" i="1" s="1"/>
  <c r="R175" i="1" s="1"/>
  <c r="R140" i="1" s="1"/>
  <c r="R105" i="1" s="1"/>
  <c r="R70" i="1" s="1"/>
  <c r="R35" i="1" s="1"/>
  <c r="R246" i="1"/>
  <c r="R211" i="1" s="1"/>
  <c r="R176" i="1" s="1"/>
  <c r="R141" i="1" s="1"/>
  <c r="R106" i="1" s="1"/>
  <c r="R71" i="1" s="1"/>
  <c r="R36" i="1" s="1"/>
  <c r="R247" i="1"/>
  <c r="R212" i="1" s="1"/>
  <c r="R177" i="1" s="1"/>
  <c r="R142" i="1" s="1"/>
  <c r="R107" i="1" s="1"/>
  <c r="R72" i="1" s="1"/>
  <c r="R37" i="1" s="1"/>
  <c r="R2" i="1" s="1"/>
  <c r="R248" i="1"/>
  <c r="R213" i="1" s="1"/>
  <c r="R178" i="1" s="1"/>
  <c r="R143" i="1" s="1"/>
  <c r="R108" i="1" s="1"/>
  <c r="R73" i="1" s="1"/>
  <c r="R38" i="1" s="1"/>
  <c r="R3" i="1" s="1"/>
  <c r="R249" i="1"/>
  <c r="R214" i="1" s="1"/>
  <c r="R179" i="1" s="1"/>
  <c r="R144" i="1" s="1"/>
  <c r="R109" i="1" s="1"/>
  <c r="R74" i="1" s="1"/>
  <c r="R39" i="1" s="1"/>
  <c r="R4" i="1" s="1"/>
  <c r="R250" i="1"/>
  <c r="R215" i="1" s="1"/>
  <c r="R180" i="1" s="1"/>
  <c r="R145" i="1" s="1"/>
  <c r="R110" i="1" s="1"/>
  <c r="R75" i="1" s="1"/>
  <c r="R40" i="1" s="1"/>
  <c r="R5" i="1" s="1"/>
  <c r="R251" i="1"/>
  <c r="R216" i="1" s="1"/>
  <c r="R181" i="1" s="1"/>
  <c r="R146" i="1" s="1"/>
  <c r="R111" i="1" s="1"/>
  <c r="R76" i="1" s="1"/>
  <c r="R41" i="1" s="1"/>
  <c r="R6" i="1" s="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E6" i="2"/>
  <c r="E5" i="2"/>
  <c r="B10" i="2"/>
  <c r="B9" i="2"/>
  <c r="B8" i="2"/>
  <c r="B7" i="2"/>
  <c r="B6" i="2"/>
  <c r="B5" i="2"/>
  <c r="B13" i="3" l="1"/>
  <c r="D52" i="3"/>
  <c r="F52" i="3" s="1"/>
  <c r="B41" i="3"/>
  <c r="B37" i="3"/>
  <c r="C26" i="3"/>
  <c r="B12" i="3"/>
  <c r="D46" i="3"/>
  <c r="F46" i="3" s="1"/>
  <c r="B36" i="3"/>
  <c r="B6" i="3"/>
  <c r="D45" i="3"/>
  <c r="F45" i="3" s="1"/>
  <c r="C31" i="3"/>
  <c r="D17" i="3"/>
  <c r="F17" i="3" s="1"/>
  <c r="C27" i="3"/>
  <c r="B30" i="3"/>
  <c r="B5" i="3"/>
  <c r="D28" i="3"/>
  <c r="F28" i="3" s="1"/>
  <c r="B38" i="3"/>
  <c r="D4" i="3"/>
  <c r="F4" i="3" s="1"/>
  <c r="C52" i="3"/>
  <c r="D22" i="3"/>
  <c r="F22" i="3" s="1"/>
  <c r="D18" i="3"/>
  <c r="F18" i="3" s="1"/>
  <c r="C28" i="3"/>
  <c r="D53" i="3"/>
  <c r="F53" i="3" s="1"/>
  <c r="C32" i="3"/>
  <c r="D21" i="3"/>
  <c r="F21" i="3" s="1"/>
  <c r="H17" i="2"/>
  <c r="B29" i="3"/>
  <c r="C51" i="3"/>
  <c r="C20" i="3"/>
  <c r="D42" i="3"/>
  <c r="F42" i="3" s="1"/>
  <c r="D16" i="3"/>
  <c r="F16" i="3" s="1"/>
  <c r="D10" i="3"/>
  <c r="F10" i="3" s="1"/>
  <c r="B4" i="3"/>
  <c r="B26" i="3"/>
  <c r="C50" i="3"/>
  <c r="C19" i="3"/>
  <c r="D41" i="3"/>
  <c r="F41" i="3" s="1"/>
  <c r="B53" i="3"/>
  <c r="B25" i="3"/>
  <c r="C44" i="3"/>
  <c r="C16" i="3"/>
  <c r="D40" i="3"/>
  <c r="F40" i="3" s="1"/>
  <c r="D9" i="3"/>
  <c r="F9" i="3" s="1"/>
  <c r="B50" i="3"/>
  <c r="B24" i="3"/>
  <c r="C43" i="3"/>
  <c r="C15" i="3"/>
  <c r="D34" i="3"/>
  <c r="F34" i="3" s="1"/>
  <c r="D6" i="3"/>
  <c r="F6" i="3" s="1"/>
  <c r="B49" i="3"/>
  <c r="B18" i="3"/>
  <c r="C40" i="3"/>
  <c r="C14" i="3"/>
  <c r="D33" i="3"/>
  <c r="F33" i="3" s="1"/>
  <c r="D5" i="3"/>
  <c r="F5" i="3" s="1"/>
  <c r="B48" i="3"/>
  <c r="B17" i="3"/>
  <c r="C39" i="3"/>
  <c r="C8" i="3"/>
  <c r="D30" i="3"/>
  <c r="F30" i="3" s="1"/>
  <c r="B42" i="3"/>
  <c r="B14" i="3"/>
  <c r="C38" i="3"/>
  <c r="C7" i="3"/>
  <c r="D29" i="3"/>
  <c r="F29" i="3" s="1"/>
  <c r="B52" i="3"/>
  <c r="B40" i="3"/>
  <c r="B28" i="3"/>
  <c r="B16" i="3"/>
  <c r="C42" i="3"/>
  <c r="E42" i="3" s="1"/>
  <c r="C30" i="3"/>
  <c r="C18" i="3"/>
  <c r="C6" i="3"/>
  <c r="E6" i="3" s="1"/>
  <c r="D44" i="3"/>
  <c r="D32" i="3"/>
  <c r="D20" i="3"/>
  <c r="D8" i="3"/>
  <c r="B51" i="3"/>
  <c r="B39" i="3"/>
  <c r="B27" i="3"/>
  <c r="B15" i="3"/>
  <c r="C53" i="3"/>
  <c r="C41" i="3"/>
  <c r="C29" i="3"/>
  <c r="C17" i="3"/>
  <c r="C5" i="3"/>
  <c r="D43" i="3"/>
  <c r="D31" i="3"/>
  <c r="D19" i="3"/>
  <c r="D7" i="3"/>
  <c r="B47" i="3"/>
  <c r="B35" i="3"/>
  <c r="B11" i="3"/>
  <c r="C37" i="3"/>
  <c r="C13" i="3"/>
  <c r="D39" i="3"/>
  <c r="D27" i="3"/>
  <c r="B46" i="3"/>
  <c r="B34" i="3"/>
  <c r="B22" i="3"/>
  <c r="B10" i="3"/>
  <c r="C48" i="3"/>
  <c r="C36" i="3"/>
  <c r="C24" i="3"/>
  <c r="C12" i="3"/>
  <c r="D50" i="3"/>
  <c r="D38" i="3"/>
  <c r="D26" i="3"/>
  <c r="D14" i="3"/>
  <c r="B23" i="3"/>
  <c r="C49" i="3"/>
  <c r="C25" i="3"/>
  <c r="D51" i="3"/>
  <c r="D15" i="3"/>
  <c r="B45" i="3"/>
  <c r="B33" i="3"/>
  <c r="B21" i="3"/>
  <c r="B9" i="3"/>
  <c r="C47" i="3"/>
  <c r="C35" i="3"/>
  <c r="C23" i="3"/>
  <c r="C11" i="3"/>
  <c r="D49" i="3"/>
  <c r="D37" i="3"/>
  <c r="D25" i="3"/>
  <c r="D13" i="3"/>
  <c r="B44" i="3"/>
  <c r="B32" i="3"/>
  <c r="B20" i="3"/>
  <c r="B8" i="3"/>
  <c r="C46" i="3"/>
  <c r="C34" i="3"/>
  <c r="C22" i="3"/>
  <c r="C10" i="3"/>
  <c r="D48" i="3"/>
  <c r="D36" i="3"/>
  <c r="D24" i="3"/>
  <c r="D12" i="3"/>
  <c r="B43" i="3"/>
  <c r="B31" i="3"/>
  <c r="B19" i="3"/>
  <c r="B7" i="3"/>
  <c r="C45" i="3"/>
  <c r="C33" i="3"/>
  <c r="C21" i="3"/>
  <c r="C9" i="3"/>
  <c r="D47" i="3"/>
  <c r="D35" i="3"/>
  <c r="D23" i="3"/>
  <c r="D11" i="3"/>
  <c r="E52" i="3" l="1"/>
  <c r="E28" i="3"/>
  <c r="E29" i="3"/>
  <c r="E21" i="3"/>
  <c r="E18" i="3"/>
  <c r="E9" i="3"/>
  <c r="E22" i="3"/>
  <c r="E10" i="3"/>
  <c r="E4" i="3"/>
  <c r="E33" i="3"/>
  <c r="E45" i="3"/>
  <c r="E46" i="3"/>
  <c r="E40" i="3"/>
  <c r="E16" i="3"/>
  <c r="E5" i="3"/>
  <c r="E53" i="3"/>
  <c r="E17" i="3"/>
  <c r="E30" i="3"/>
  <c r="E41" i="3"/>
  <c r="H4" i="3"/>
  <c r="E34" i="3"/>
  <c r="E38" i="3"/>
  <c r="F38" i="3"/>
  <c r="F27" i="3"/>
  <c r="E27" i="3"/>
  <c r="F48" i="3"/>
  <c r="E48" i="3"/>
  <c r="E49" i="3"/>
  <c r="F49" i="3"/>
  <c r="F51" i="3"/>
  <c r="E51" i="3"/>
  <c r="E14" i="3"/>
  <c r="F14" i="3"/>
  <c r="F7" i="3"/>
  <c r="E7" i="3"/>
  <c r="E26" i="3"/>
  <c r="F26" i="3"/>
  <c r="E19" i="3"/>
  <c r="F19" i="3"/>
  <c r="F11" i="3"/>
  <c r="E11" i="3"/>
  <c r="E44" i="3"/>
  <c r="F44" i="3"/>
  <c r="E8" i="3"/>
  <c r="F8" i="3"/>
  <c r="H6" i="3"/>
  <c r="F32" i="3"/>
  <c r="E32" i="3"/>
  <c r="F12" i="3"/>
  <c r="E12" i="3"/>
  <c r="E13" i="3"/>
  <c r="F13" i="3"/>
  <c r="F43" i="3"/>
  <c r="E43" i="3"/>
  <c r="F23" i="3"/>
  <c r="E23" i="3"/>
  <c r="F35" i="3"/>
  <c r="E35" i="3"/>
  <c r="F24" i="3"/>
  <c r="E24" i="3"/>
  <c r="E25" i="3"/>
  <c r="F25" i="3"/>
  <c r="F31" i="3"/>
  <c r="E31" i="3"/>
  <c r="E50" i="3"/>
  <c r="F50" i="3"/>
  <c r="F39" i="3"/>
  <c r="E39" i="3"/>
  <c r="F20" i="3"/>
  <c r="E20" i="3"/>
  <c r="F47" i="3"/>
  <c r="E47" i="3"/>
  <c r="F36" i="3"/>
  <c r="E36" i="3"/>
  <c r="E37" i="3"/>
  <c r="F37" i="3"/>
  <c r="F15" i="3"/>
  <c r="E1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<sst xmlns="http://schemas.openxmlformats.org/spreadsheetml/2006/main" count="2390" uniqueCount="483">
  <si>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</si>
  <si>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</si>
  <si>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</si>
  <si>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</si>
  <si>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</si>
  <si>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</si>
  <si>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</si>
  <si>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</si>
  <si>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</si>
  <si>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</si>
  <si>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</si>
  <si>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</si>
  <si>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</si>
  <si>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</si>
  <si>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</si>
  <si>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</si>
  <si>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</si>
  <si>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</si>
  <si>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</si>
  <si>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</si>
  <si>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</si>
  <si>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</si>
  <si>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</si>
  <si>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</si>
  <si>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</si>
  <si>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</si>
  <si>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</si>
  <si>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</si>
  <si>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</si>
  <si>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</si>
  <si>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</si>
  <si>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</si>
  <si>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</si>
  <si>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</si>
  <si>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</si>
  <si>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</si>
  <si>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</si>
  <si>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</si>
  <si>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</si>
  <si>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</si>
  <si>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</si>
  <si>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</si>
  <si>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</si>
  <si>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</si>
  <si>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</si>
  <si>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</si>
  <si>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</si>
  <si>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</si>
  <si>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</si>
  <si>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</si>
  <si>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</si>
  <si>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</si>
  <si>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</si>
  <si>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</si>
  <si>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</si>
  <si>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</si>
  <si>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</si>
  <si>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</si>
  <si>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</si>
  <si>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</si>
  <si>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</si>
  <si>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</si>
  <si>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</si>
  <si>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</si>
  <si>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</si>
  <si>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</si>
  <si>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</si>
  <si>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</si>
  <si>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</si>
  <si>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</si>
  <si>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</si>
  <si>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</si>
  <si>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</si>
  <si>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</si>
  <si>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</si>
  <si>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</si>
  <si>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</si>
  <si>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</si>
  <si>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</si>
  <si>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</si>
  <si>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</si>
  <si>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</si>
  <si>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</si>
  <si>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</si>
  <si>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</si>
  <si>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</si>
  <si>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</si>
  <si>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</si>
  <si>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</si>
  <si>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</si>
  <si>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</si>
  <si>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</si>
  <si>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</si>
  <si>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</si>
  <si>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</si>
  <si>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</si>
  <si>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</si>
  <si>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</si>
  <si>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</si>
  <si>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</si>
  <si>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</si>
  <si>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</si>
  <si>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</si>
  <si>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</si>
  <si>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</si>
  <si>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</si>
  <si>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</si>
  <si>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</si>
  <si>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</si>
  <si>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</si>
  <si>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</si>
  <si>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</si>
  <si>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</si>
  <si>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</si>
  <si>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</si>
  <si>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</si>
  <si>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</si>
  <si>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</si>
  <si>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</si>
  <si>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</si>
  <si>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</si>
  <si>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</si>
  <si>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</si>
  <si>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</si>
  <si>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</si>
  <si>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</si>
  <si>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</si>
  <si>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</si>
  <si>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</si>
  <si>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</si>
  <si>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</si>
  <si>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</si>
  <si>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</si>
  <si>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</si>
  <si>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</si>
  <si>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</si>
  <si>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</si>
  <si>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</si>
  <si>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</si>
  <si>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</si>
  <si>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</si>
  <si>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</si>
  <si>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</si>
  <si>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</si>
  <si>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</si>
  <si>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</si>
  <si>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</si>
  <si>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</si>
  <si>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</si>
  <si>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</si>
  <si>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</si>
  <si>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</si>
  <si>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</si>
  <si>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</si>
  <si>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</si>
  <si>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</si>
  <si>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</si>
  <si>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</si>
  <si>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</si>
  <si>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</si>
  <si>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</si>
  <si>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</si>
  <si>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</si>
  <si>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</si>
  <si>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</si>
  <si>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</si>
  <si>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</si>
  <si>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</si>
  <si>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</si>
  <si>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</si>
  <si>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</si>
  <si>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</si>
  <si>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</si>
  <si>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</si>
  <si>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</si>
  <si>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</si>
  <si>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</si>
  <si>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</si>
  <si>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</si>
  <si>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</si>
  <si>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</si>
  <si>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</si>
  <si>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</si>
  <si>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</si>
  <si>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</si>
  <si>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</si>
  <si>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</si>
  <si>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</si>
  <si>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</si>
  <si>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</si>
  <si>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</si>
  <si>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</si>
  <si>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</si>
  <si>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</si>
  <si>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</si>
  <si>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</si>
  <si>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</si>
  <si>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</si>
  <si>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</si>
  <si>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</si>
  <si>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</si>
  <si>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</si>
  <si>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</si>
  <si>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</si>
  <si>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</si>
  <si>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</si>
  <si>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</si>
  <si>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</si>
  <si>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</si>
  <si>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</si>
  <si>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</si>
  <si>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</si>
  <si>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</si>
  <si>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</si>
  <si>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</si>
  <si>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</si>
  <si>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</si>
  <si>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</si>
  <si>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</si>
  <si>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</si>
  <si>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</si>
  <si>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</si>
  <si>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</si>
  <si>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</si>
  <si>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</si>
  <si>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</si>
  <si>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</si>
  <si>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</si>
  <si>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</si>
  <si>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</si>
  <si>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</si>
  <si>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</si>
  <si>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</si>
  <si>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</si>
  <si>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</si>
  <si>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</si>
  <si>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</si>
  <si>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</si>
  <si>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</si>
  <si>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</si>
  <si>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</si>
  <si>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</si>
  <si>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</si>
  <si>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</si>
  <si>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</si>
  <si>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</si>
  <si>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</si>
  <si>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</si>
  <si>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</si>
  <si>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</si>
  <si>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</si>
  <si>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</si>
  <si>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</si>
  <si>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</si>
  <si>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</si>
  <si>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</si>
  <si>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</si>
  <si>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</si>
  <si>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</si>
  <si>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</si>
  <si>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</si>
  <si>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</si>
  <si>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</si>
  <si>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</si>
  <si>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</si>
  <si>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</si>
  <si>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</si>
  <si>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</si>
  <si>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</si>
  <si>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</si>
  <si>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</si>
  <si>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</si>
  <si>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</si>
  <si>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</si>
  <si>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</si>
  <si>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</si>
  <si>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</si>
  <si>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</si>
  <si>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</si>
  <si>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</si>
  <si>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</si>
  <si>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</si>
  <si>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</si>
  <si>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</si>
  <si>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</si>
  <si>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</si>
  <si>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</si>
  <si>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</si>
  <si>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</si>
  <si>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</si>
  <si>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</si>
  <si>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</si>
  <si>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</si>
  <si>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</si>
  <si>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</si>
  <si>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</si>
  <si>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</si>
  <si>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</si>
  <si>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</si>
  <si>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</si>
  <si>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</si>
  <si>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</si>
  <si>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</si>
  <si>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</si>
  <si>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</si>
  <si>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</si>
  <si>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</si>
  <si>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</si>
  <si>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</si>
  <si>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</si>
  <si>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</si>
  <si>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</si>
  <si>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</si>
  <si>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</si>
  <si>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</si>
  <si>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</si>
  <si>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</si>
  <si>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</si>
  <si>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</si>
  <si>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</si>
  <si>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</si>
  <si>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</si>
  <si>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</si>
  <si>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</si>
  <si>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</si>
  <si>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</si>
  <si>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</si>
  <si>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</si>
  <si>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</si>
  <si>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</si>
  <si>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</si>
  <si>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</si>
  <si>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</si>
  <si>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</si>
  <si>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</si>
  <si>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</si>
  <si>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</si>
  <si>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</si>
  <si>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</si>
  <si>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</si>
  <si>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</si>
  <si>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</si>
  <si>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</si>
  <si>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</si>
  <si>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</si>
  <si>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</si>
  <si>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</si>
  <si>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</si>
  <si>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</si>
  <si>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</si>
  <si>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</si>
  <si>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</si>
  <si>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</si>
  <si>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</si>
  <si>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</si>
  <si>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</si>
  <si>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</si>
  <si>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</si>
  <si>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</si>
  <si>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</si>
  <si>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</si>
  <si>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</si>
  <si>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</si>
  <si>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</si>
  <si>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</si>
  <si>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</si>
  <si>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</si>
  <si>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</si>
  <si>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</si>
  <si>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</si>
  <si>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</si>
  <si>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</si>
  <si>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</si>
  <si>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</si>
  <si>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</si>
  <si>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</si>
  <si>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</si>
  <si>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</si>
  <si>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</si>
  <si>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</si>
  <si>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</si>
  <si>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</si>
  <si>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</si>
  <si>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</si>
  <si>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</si>
  <si>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</si>
  <si>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</si>
  <si>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</si>
  <si>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</si>
  <si>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</si>
  <si>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</si>
  <si>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</si>
  <si>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</si>
  <si>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</si>
  <si>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</si>
  <si>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</si>
  <si>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</si>
  <si>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</si>
  <si>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</si>
  <si>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DATA INTELLIGENCE ANALYSIS</t>
  </si>
  <si>
    <t>Key Metrics</t>
  </si>
  <si>
    <t>Total Revenue</t>
  </si>
  <si>
    <t>Total Transactions</t>
  </si>
  <si>
    <t>Total Quantity Sold</t>
  </si>
  <si>
    <t>Average Transaction Value</t>
  </si>
  <si>
    <t>Maximum Transaction</t>
  </si>
  <si>
    <t>Minimum Transaction</t>
  </si>
  <si>
    <t>Date &amp; Time Analysis</t>
  </si>
  <si>
    <t>Today's Date</t>
  </si>
  <si>
    <t>Current Date &amp; Time</t>
  </si>
  <si>
    <t>Customer_Age_Days</t>
  </si>
  <si>
    <t>Customer_Age_Years</t>
  </si>
  <si>
    <t xml:space="preserve"> Month_End</t>
  </si>
  <si>
    <t>Timestamp</t>
  </si>
  <si>
    <t>East Region Transactions</t>
  </si>
  <si>
    <t>Premium Customers</t>
  </si>
  <si>
    <t>Product Analysis</t>
  </si>
  <si>
    <t>Product</t>
  </si>
  <si>
    <t>Quantity Sold</t>
  </si>
  <si>
    <t>Revenue</t>
  </si>
  <si>
    <t>Most Sold Product</t>
  </si>
  <si>
    <t>Performance</t>
  </si>
  <si>
    <t>Transactions</t>
  </si>
  <si>
    <t>CUSTOMER VALUE ANALYSIS</t>
  </si>
  <si>
    <t>Transaction_Count</t>
  </si>
  <si>
    <t>Total_Revenue</t>
  </si>
  <si>
    <t>Average_Order_Value</t>
  </si>
  <si>
    <t>Customer_Status</t>
  </si>
  <si>
    <t>Top Customer</t>
  </si>
  <si>
    <t>Top Customer Revenue</t>
  </si>
  <si>
    <t>Average Unit Price</t>
  </si>
  <si>
    <t>Expected Revenue</t>
  </si>
  <si>
    <t>Row Labels</t>
  </si>
  <si>
    <t>Grand Total</t>
  </si>
  <si>
    <t>Sum of Total_Amount</t>
  </si>
  <si>
    <t>Sum of Quantity</t>
  </si>
  <si>
    <t>2024</t>
  </si>
  <si>
    <t>Apr</t>
  </si>
  <si>
    <t>Month</t>
  </si>
  <si>
    <t>Total Amount</t>
  </si>
  <si>
    <t>Customer Segment</t>
  </si>
  <si>
    <t>Categary</t>
  </si>
  <si>
    <t>TOTAL TRANSACTIONS</t>
  </si>
  <si>
    <t>TOTAL QUANTITY</t>
  </si>
  <si>
    <t>AVG ORDER VALUE</t>
  </si>
  <si>
    <r>
      <t xml:space="preserve"> </t>
    </r>
    <r>
      <rPr>
        <b/>
        <sz val="36"/>
        <color theme="0"/>
        <rFont val="Gill Sans MT"/>
        <family val="2"/>
        <scheme val="minor"/>
      </rPr>
      <t xml:space="preserve">DATA INTELLIGENCE DASHBOARD </t>
    </r>
  </si>
  <si>
    <t>FINAL DATA INTELLIGENCE REPORT</t>
  </si>
  <si>
    <t>Executive Summary</t>
  </si>
  <si>
    <t>Average Order Value</t>
  </si>
  <si>
    <t>Revenue Insight</t>
  </si>
  <si>
    <t>The analysis provides an overview of total revenue generated from customer transactions.</t>
  </si>
  <si>
    <t>Customer_Abbreviation</t>
  </si>
  <si>
    <t>Mean</t>
  </si>
  <si>
    <t>Standard Error</t>
  </si>
  <si>
    <t>Median</t>
  </si>
  <si>
    <t>Mode</t>
  </si>
  <si>
    <t>Standard Deviation</t>
  </si>
  <si>
    <t>Sample Variance</t>
  </si>
  <si>
    <t>Kurtosis</t>
  </si>
  <si>
    <t>Skewness</t>
  </si>
  <si>
    <t>Range</t>
  </si>
  <si>
    <t>Minimum</t>
  </si>
  <si>
    <t>Maximum</t>
  </si>
  <si>
    <t>Sum</t>
  </si>
  <si>
    <t>Count</t>
  </si>
  <si>
    <t>💰TOTAL REVENUE</t>
  </si>
  <si>
    <t>🛒TOTAL TRANSACTIONS</t>
  </si>
  <si>
    <t>📦 TOTAL QUANTITY</t>
  </si>
  <si>
    <t>📊AVG ORDER VALUE</t>
  </si>
  <si>
    <t>WHAT-IF ANALYSIS</t>
  </si>
  <si>
    <t>$B$4</t>
  </si>
  <si>
    <t>$B$5</t>
  </si>
  <si>
    <t>Base Case</t>
  </si>
  <si>
    <t>Created by Krinal on 11-09-2026</t>
  </si>
  <si>
    <t>High Sales</t>
  </si>
  <si>
    <t>Low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</si>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</sst>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Gill Sans MT"/>
      <family val="2"/>
      <scheme val="minor"/>
    </font>
    <font>
      <b/>
      <sz val="11"/>
      <color theme="0"/>
      <name val="Gill Sans MT"/>
      <family val="2"/>
      <scheme val="minor"/>
    </font>
    <font>
      <b/>
      <sz val="11"/>
      <color theme="1"/>
      <name val="Gill Sans MT"/>
      <family val="2"/>
      <scheme val="minor"/>
    </font>
    <font>
      <b/>
      <sz val="11"/>
      <color theme="0"/>
      <name val="Calibri"/>
      <family val="2"/>
    </font>
    <font>
      <b/>
      <sz val="12"/>
      <color theme="0"/>
      <name val="Gill Sans MT"/>
      <family val="2"/>
      <scheme val="minor"/>
    </font>
    <font>
      <sz val="10"/>
      <color theme="1"/>
      <name val="Arial Unicode MS"/>
    </font>
    <font>
      <b/>
      <sz val="14"/>
      <name val="Gill Sans MT"/>
      <family val="2"/>
      <scheme val="minor"/>
    </font>
    <font>
      <b/>
      <sz val="36"/>
      <color theme="0"/>
      <name val="Gill Sans MT"/>
      <family val="2"/>
      <scheme val="minor"/>
    </font>
    <font>
      <b/>
      <sz val="11"/>
      <name val="Calibri"/>
      <family val="2"/>
    </font>
    <font>
      <b/>
      <sz val="10"/>
      <name val="Arial Unicode MS"/>
    </font>
    <font>
      <b/>
      <sz val="12"/>
      <color indexed="9"/>
      <name val="Gill Sans MT"/>
      <family val="2"/>
      <scheme val="minor"/>
    </font>
    <font>
      <b/>
      <sz val="11"/>
      <color indexed="8"/>
      <name val="Gill Sans MT"/>
      <family val="2"/>
      <scheme val="minor"/>
    </font>
    <font>
      <b/>
      <sz val="11"/>
      <color indexed="18"/>
      <name val="Gill Sans MT"/>
      <family val="2"/>
      <scheme val="minor"/>
    </font>
    <font>
      <sz val="10"/>
      <color indexed="9"/>
      <name val="Gill Sans MT"/>
      <family val="2"/>
      <scheme val="minor"/>
    </font>
    <font>
      <sz val="8"/>
      <color theme="1"/>
      <name val="Gill Sans MT"/>
      <family val="2"/>
      <scheme val="minor"/>
    </font>
  </fonts>
  <fills count="18">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49998474074526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9.9978637043366805E-2"/>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32">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04">
    <xf numFmtId="0" fontId="0" fillId="0" borderId="0" xfId="0"/>
    <xf numFmtId="0" fontId="0" fillId="0" borderId="0" xfId="0" applyAlignment="1">
      <alignment horizontal="center" vertical="center"/>
    </xf>
    <xf numFmtId="0" fontId="0" fillId="5" borderId="10" xfId="0" applyFill="1" applyBorder="1" applyAlignment="1">
      <alignment horizontal="center" vertical="center"/>
    </xf>
    <xf numFmtId="0" fontId="0" fillId="0" borderId="11" xfId="0" applyBorder="1" applyAlignment="1">
      <alignment horizontal="center" vertical="center"/>
    </xf>
    <xf numFmtId="0" fontId="0" fillId="5" borderId="11" xfId="0" applyFill="1" applyBorder="1" applyAlignment="1">
      <alignment horizontal="center" vertical="center"/>
    </xf>
    <xf numFmtId="0" fontId="0" fillId="0" borderId="12" xfId="0" applyBorder="1" applyAlignment="1">
      <alignment horizontal="center" vertical="center"/>
    </xf>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2" fillId="4" borderId="10" xfId="0" applyFont="1" applyFill="1" applyBorder="1" applyAlignment="1">
      <alignment horizontal="center" vertical="center"/>
    </xf>
    <xf numFmtId="0" fontId="2" fillId="7" borderId="10" xfId="0" applyFont="1" applyFill="1" applyBorder="1" applyAlignment="1">
      <alignment horizontal="center" vertical="center"/>
    </xf>
    <xf numFmtId="0" fontId="2" fillId="8" borderId="10" xfId="0" applyFont="1" applyFill="1" applyBorder="1" applyAlignment="1">
      <alignment horizontal="center" vertical="center"/>
    </xf>
    <xf numFmtId="0" fontId="2" fillId="9" borderId="10" xfId="0" applyFont="1" applyFill="1" applyBorder="1" applyAlignment="1">
      <alignment horizontal="center" vertical="center"/>
    </xf>
    <xf numFmtId="0" fontId="2" fillId="8" borderId="0" xfId="0" applyFont="1" applyFill="1" applyAlignment="1">
      <alignment horizontal="center" vertical="center"/>
    </xf>
    <xf numFmtId="0" fontId="2" fillId="7" borderId="0" xfId="0" applyFont="1" applyFill="1" applyAlignment="1">
      <alignment horizontal="center" vertical="center"/>
    </xf>
    <xf numFmtId="0" fontId="2" fillId="4" borderId="0" xfId="0" applyFont="1" applyFill="1" applyAlignment="1">
      <alignment horizontal="center" vertical="center"/>
    </xf>
    <xf numFmtId="0" fontId="0" fillId="0" borderId="0" xfId="0" applyAlignment="1">
      <alignment horizontal="left" vertical="top"/>
    </xf>
    <xf numFmtId="0" fontId="2" fillId="3" borderId="0" xfId="0" applyFont="1" applyFill="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4" xfId="0" applyBorder="1" applyAlignment="1">
      <alignment horizontal="center" vertical="center"/>
    </xf>
    <xf numFmtId="0" fontId="0" fillId="0" borderId="20" xfId="0" applyBorder="1" applyAlignment="1">
      <alignment horizontal="center" vertical="center"/>
    </xf>
    <xf numFmtId="0" fontId="0" fillId="0" borderId="17" xfId="0" applyBorder="1"/>
    <xf numFmtId="0" fontId="0" fillId="0" borderId="18" xfId="0" applyBorder="1"/>
    <xf numFmtId="0" fontId="0" fillId="0" borderId="19" xfId="0" applyBorder="1"/>
    <xf numFmtId="0" fontId="0" fillId="0" borderId="20" xfId="0" applyBorder="1"/>
    <xf numFmtId="0" fontId="0" fillId="13" borderId="21" xfId="0" applyFill="1" applyBorder="1"/>
    <xf numFmtId="0" fontId="0" fillId="14" borderId="22" xfId="0" applyFill="1" applyBorder="1"/>
    <xf numFmtId="0" fontId="0" fillId="13" borderId="23" xfId="0" applyFill="1" applyBorder="1"/>
    <xf numFmtId="0" fontId="0" fillId="14" borderId="24" xfId="0" applyFill="1" applyBorder="1"/>
    <xf numFmtId="0" fontId="0" fillId="13" borderId="25" xfId="0" applyFill="1" applyBorder="1"/>
    <xf numFmtId="0" fontId="0" fillId="14" borderId="26" xfId="0" applyFill="1" applyBorder="1"/>
    <xf numFmtId="0" fontId="3" fillId="0" borderId="4" xfId="0" applyFont="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8" fillId="0" borderId="2" xfId="0" applyFont="1" applyBorder="1" applyAlignment="1">
      <alignment wrapText="1"/>
    </xf>
    <xf numFmtId="14" fontId="8" fillId="0" borderId="1" xfId="0" applyNumberFormat="1" applyFont="1" applyBorder="1" applyAlignment="1">
      <alignment horizontal="right" wrapText="1"/>
    </xf>
    <xf numFmtId="0" fontId="8" fillId="0" borderId="1" xfId="0" applyFont="1" applyBorder="1" applyAlignment="1">
      <alignment wrapText="1"/>
    </xf>
    <xf numFmtId="0" fontId="8" fillId="0" borderId="1" xfId="0" applyFont="1" applyBorder="1" applyAlignment="1">
      <alignment horizontal="right" wrapText="1"/>
    </xf>
    <xf numFmtId="0" fontId="8" fillId="0" borderId="3" xfId="0" applyFont="1" applyBorder="1" applyAlignment="1">
      <alignment horizontal="right" wrapText="1"/>
    </xf>
    <xf numFmtId="0" fontId="9" fillId="0" borderId="0" xfId="0" applyFont="1" applyAlignment="1">
      <alignment vertical="center"/>
    </xf>
    <xf numFmtId="14" fontId="9" fillId="0" borderId="0" xfId="0" applyNumberFormat="1" applyFont="1" applyAlignment="1">
      <alignment vertical="center"/>
    </xf>
    <xf numFmtId="22" fontId="8" fillId="0" borderId="0" xfId="0" applyNumberFormat="1" applyFont="1" applyAlignment="1">
      <alignment wrapText="1"/>
    </xf>
    <xf numFmtId="0" fontId="8" fillId="0" borderId="0" xfId="0" applyFont="1" applyAlignment="1">
      <alignment wrapText="1"/>
    </xf>
    <xf numFmtId="14" fontId="8" fillId="0" borderId="0" xfId="0" applyNumberFormat="1" applyFont="1" applyAlignment="1">
      <alignment wrapText="1"/>
    </xf>
    <xf numFmtId="0" fontId="8" fillId="0" borderId="7" xfId="0" applyFont="1" applyBorder="1" applyAlignment="1">
      <alignment wrapText="1"/>
    </xf>
    <xf numFmtId="14" fontId="8" fillId="0" borderId="8" xfId="0" applyNumberFormat="1" applyFont="1" applyBorder="1" applyAlignment="1">
      <alignment horizontal="right" wrapText="1"/>
    </xf>
    <xf numFmtId="0" fontId="8" fillId="0" borderId="8" xfId="0" applyFont="1" applyBorder="1" applyAlignment="1">
      <alignment wrapText="1"/>
    </xf>
    <xf numFmtId="0" fontId="8" fillId="0" borderId="8" xfId="0" applyFont="1" applyBorder="1" applyAlignment="1">
      <alignment horizontal="right" wrapText="1"/>
    </xf>
    <xf numFmtId="0" fontId="8" fillId="0" borderId="9" xfId="0" applyFont="1" applyBorder="1" applyAlignment="1">
      <alignment horizontal="right" wrapText="1"/>
    </xf>
    <xf numFmtId="14" fontId="0" fillId="0" borderId="18" xfId="0" applyNumberFormat="1" applyBorder="1"/>
    <xf numFmtId="22" fontId="0" fillId="0" borderId="20" xfId="0" applyNumberFormat="1" applyBorder="1"/>
    <xf numFmtId="0" fontId="5" fillId="0" borderId="17" xfId="0" applyFont="1" applyBorder="1" applyAlignment="1">
      <alignment vertical="center"/>
    </xf>
    <xf numFmtId="0" fontId="5" fillId="0" borderId="19" xfId="0" applyFont="1" applyBorder="1" applyAlignment="1">
      <alignment vertical="center"/>
    </xf>
    <xf numFmtId="0" fontId="0" fillId="0" borderId="14" xfId="0" applyBorder="1"/>
    <xf numFmtId="0" fontId="4" fillId="3" borderId="17" xfId="0" applyFont="1" applyFill="1" applyBorder="1"/>
    <xf numFmtId="0" fontId="1" fillId="2" borderId="15" xfId="0" applyFont="1" applyFill="1" applyBorder="1"/>
    <xf numFmtId="0" fontId="1" fillId="2" borderId="13" xfId="0" applyFont="1" applyFill="1" applyBorder="1"/>
    <xf numFmtId="0" fontId="1" fillId="2" borderId="16" xfId="0" applyFont="1" applyFill="1" applyBorder="1"/>
    <xf numFmtId="0" fontId="1" fillId="6" borderId="15" xfId="0" applyFont="1" applyFill="1" applyBorder="1"/>
    <xf numFmtId="0" fontId="1" fillId="6" borderId="13" xfId="0" applyFont="1" applyFill="1" applyBorder="1"/>
    <xf numFmtId="0" fontId="1" fillId="6" borderId="16" xfId="0" applyFont="1" applyFill="1" applyBorder="1"/>
    <xf numFmtId="0" fontId="1" fillId="10" borderId="15" xfId="0" applyFont="1" applyFill="1" applyBorder="1" applyAlignment="1">
      <alignment horizontal="center" vertical="center"/>
    </xf>
    <xf numFmtId="0" fontId="1" fillId="10" borderId="13" xfId="0" applyFont="1" applyFill="1" applyBorder="1" applyAlignment="1">
      <alignment horizontal="center" vertical="center"/>
    </xf>
    <xf numFmtId="0" fontId="1" fillId="10" borderId="16" xfId="0" applyFont="1" applyFill="1" applyBorder="1" applyAlignment="1">
      <alignment horizontal="center" vertical="center"/>
    </xf>
    <xf numFmtId="0" fontId="1" fillId="10" borderId="17" xfId="0" applyFont="1" applyFill="1" applyBorder="1" applyAlignment="1">
      <alignment horizontal="center" vertical="center"/>
    </xf>
    <xf numFmtId="0" fontId="1" fillId="10" borderId="0" xfId="0" applyFont="1" applyFill="1" applyAlignment="1">
      <alignment horizontal="center" vertical="center"/>
    </xf>
    <xf numFmtId="0" fontId="1" fillId="10" borderId="18" xfId="0" applyFont="1" applyFill="1" applyBorder="1" applyAlignment="1">
      <alignment horizontal="center" vertical="center"/>
    </xf>
    <xf numFmtId="0" fontId="1" fillId="10" borderId="19" xfId="0" applyFont="1" applyFill="1" applyBorder="1" applyAlignment="1">
      <alignment horizontal="center" vertical="center"/>
    </xf>
    <xf numFmtId="0" fontId="1" fillId="10" borderId="14" xfId="0" applyFont="1" applyFill="1" applyBorder="1" applyAlignment="1">
      <alignment horizontal="center" vertical="center"/>
    </xf>
    <xf numFmtId="0" fontId="1" fillId="10" borderId="20" xfId="0" applyFont="1" applyFill="1" applyBorder="1" applyAlignment="1">
      <alignment horizontal="center" vertic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4" fillId="12" borderId="0" xfId="0" applyFont="1" applyFill="1" applyAlignment="1">
      <alignment horizontal="center"/>
    </xf>
    <xf numFmtId="0" fontId="4" fillId="2" borderId="15" xfId="0" applyFont="1" applyFill="1" applyBorder="1" applyAlignment="1">
      <alignment horizontal="center"/>
    </xf>
    <xf numFmtId="0" fontId="4" fillId="2" borderId="16" xfId="0" applyFont="1" applyFill="1" applyBorder="1" applyAlignment="1">
      <alignment horizontal="center"/>
    </xf>
    <xf numFmtId="0" fontId="0" fillId="4" borderId="21" xfId="0" applyFill="1" applyBorder="1" applyAlignment="1">
      <alignment vertical="center"/>
    </xf>
    <xf numFmtId="0" fontId="0" fillId="4" borderId="25" xfId="0" applyFill="1" applyBorder="1" applyAlignment="1">
      <alignment vertical="center"/>
    </xf>
    <xf numFmtId="0" fontId="0" fillId="5" borderId="22" xfId="0" applyFill="1" applyBorder="1" applyAlignment="1">
      <alignment vertical="center"/>
    </xf>
    <xf numFmtId="0" fontId="0" fillId="5" borderId="26" xfId="0" applyFill="1" applyBorder="1" applyAlignment="1">
      <alignment vertical="center"/>
    </xf>
    <xf numFmtId="0" fontId="4" fillId="2" borderId="15"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6" xfId="0" applyFont="1" applyFill="1" applyBorder="1" applyAlignment="1">
      <alignment horizontal="center" vertical="center"/>
    </xf>
    <xf numFmtId="0" fontId="6" fillId="5" borderId="0" xfId="0" applyFont="1" applyFill="1" applyAlignment="1">
      <alignment horizontal="center"/>
    </xf>
    <xf numFmtId="0" fontId="4" fillId="2" borderId="0" xfId="0" applyFont="1" applyFill="1" applyAlignment="1">
      <alignment horizontal="center"/>
    </xf>
    <xf numFmtId="0" fontId="0" fillId="14" borderId="27" xfId="0" applyFill="1" applyBorder="1" applyAlignment="1">
      <alignment horizontal="center"/>
    </xf>
    <xf numFmtId="0" fontId="0" fillId="14" borderId="28" xfId="0" applyFill="1" applyBorder="1" applyAlignment="1">
      <alignment horizontal="center"/>
    </xf>
    <xf numFmtId="0" fontId="4" fillId="11" borderId="0" xfId="0" applyFont="1" applyFill="1" applyAlignment="1">
      <alignment horizontal="center"/>
    </xf>
    <xf numFmtId="0" fontId="4" fillId="12" borderId="0" xfId="0" applyFont="1" applyFill="1" applyAlignment="1">
      <alignment horizontal="center" vertical="center"/>
    </xf>
    <xf numFmtId="0" fontId="0" fillId="0" borderId="29" xfId="0" applyFont="1" applyBorder="1"/>
    <xf numFmtId="0" fontId="1" fillId="12" borderId="0" xfId="0" applyFont="1" applyFill="1" applyAlignment="1">
      <alignment horizontal="center"/>
    </xf>
    <xf numFmtId="0" fontId="0" fillId="0" borderId="0" xfId="0" applyFill="1" applyBorder="1" applyAlignment="1"/>
    <xf numFmtId="0" fontId="0" fillId="0" borderId="14" xfId="0" applyFill="1" applyBorder="1" applyAlignment="1"/>
    <xf numFmtId="0" fontId="10" fillId="15" borderId="30" xfId="0" applyFont="1" applyFill="1" applyBorder="1" applyAlignment="1">
      <alignment horizontal="left"/>
    </xf>
    <xf numFmtId="0" fontId="10" fillId="15" borderId="13" xfId="0" applyFont="1" applyFill="1" applyBorder="1" applyAlignment="1">
      <alignment horizontal="left"/>
    </xf>
    <xf numFmtId="0" fontId="0" fillId="0" borderId="31" xfId="0" applyFill="1" applyBorder="1" applyAlignment="1"/>
    <xf numFmtId="0" fontId="11" fillId="16" borderId="0" xfId="0" applyFont="1" applyFill="1" applyBorder="1" applyAlignment="1">
      <alignment horizontal="left"/>
    </xf>
    <xf numFmtId="0" fontId="12" fillId="16" borderId="31" xfId="0" applyFont="1" applyFill="1" applyBorder="1" applyAlignment="1">
      <alignment horizontal="left"/>
    </xf>
    <xf numFmtId="0" fontId="11" fillId="16" borderId="14" xfId="0" applyFont="1" applyFill="1" applyBorder="1" applyAlignment="1">
      <alignment horizontal="left"/>
    </xf>
    <xf numFmtId="0" fontId="13" fillId="15" borderId="13" xfId="0" applyFont="1" applyFill="1" applyBorder="1" applyAlignment="1">
      <alignment horizontal="right"/>
    </xf>
    <xf numFmtId="0" fontId="13" fillId="15" borderId="30" xfId="0" applyFont="1" applyFill="1" applyBorder="1" applyAlignment="1">
      <alignment horizontal="right"/>
    </xf>
    <xf numFmtId="0" fontId="0" fillId="17" borderId="0" xfId="0" applyFill="1" applyBorder="1" applyAlignment="1"/>
    <xf numFmtId="0" fontId="14" fillId="0" borderId="0" xfId="0" applyFont="1" applyFill="1" applyBorder="1" applyAlignment="1">
      <alignment vertical="top" wrapText="1"/>
    </xf>
  </cellXfs>
  <cellStyles count="1">
    <cellStyle name="Normal" xfId="0" builtinId="0"/>
  </cellStyles>
  <dxfs count="84">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i val="0"/>
        <strike val="0"/>
        <condense val="0"/>
        <extend val="0"/>
        <outline val="0"/>
        <shadow val="0"/>
        <u val="none"/>
        <vertAlign val="baseline"/>
        <sz val="11"/>
        <color auto="1"/>
        <name val="Calibri"/>
        <family val="2"/>
        <scheme val="none"/>
      </font>
      <numFmt numFmtId="0" formatCode="General"/>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none"/>
      </font>
      <numFmt numFmtId="27" formatCode="dd/mm/yyyy\ hh:mm"/>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none"/>
      </font>
      <numFmt numFmtId="19" formatCode="dd/mm/yyyy"/>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none"/>
      </font>
      <numFmt numFmtId="0" formatCode="General"/>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none"/>
      </font>
      <numFmt numFmtId="0" formatCode="Genera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right" vertical="bottom" textRotation="0" wrapText="1" indent="0" justifyLastLine="0" shrinkToFit="0" readingOrder="0"/>
      <border diagonalUp="0" diagonalDown="0" outline="0">
        <left style="medium">
          <color rgb="FFCCCCCC"/>
        </left>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numFmt numFmtId="19" formatCode="dd/mm/yyyy"/>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numFmt numFmtId="19" formatCode="dd/mm/yyyy"/>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i val="0"/>
        <strike val="0"/>
        <condense val="0"/>
        <extend val="0"/>
        <outline val="0"/>
        <shadow val="0"/>
        <u val="none"/>
        <vertAlign val="baseline"/>
        <sz val="11"/>
        <color auto="1"/>
        <name val="Calibri"/>
        <family val="2"/>
        <scheme val="none"/>
      </font>
      <alignment horizontal="general"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0"/>
        <name val="Calibri"/>
        <family val="2"/>
        <scheme val="none"/>
      </font>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Analysis!PivotTable10</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a:t>
            </a:r>
            <a:r>
              <a:rPr lang="en-IN" baseline="0"/>
              <a:t> by Region</a:t>
            </a:r>
          </a:p>
        </c:rich>
      </c:tx>
      <c:layout>
        <c:manualLayout>
          <c:xMode val="edge"/>
          <c:yMode val="edge"/>
          <c:x val="0.29829155730533685"/>
          <c:y val="0.119349664625255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91426071741032"/>
          <c:y val="0.26735892388451443"/>
          <c:w val="0.82860870516185481"/>
          <c:h val="0.51552165354330715"/>
        </c:manualLayout>
      </c:layout>
      <c:bar3DChart>
        <c:barDir val="col"/>
        <c:grouping val="clustered"/>
        <c:varyColors val="0"/>
        <c:ser>
          <c:idx val="0"/>
          <c:order val="0"/>
          <c:tx>
            <c:strRef>
              <c:f>'Pivot Analysis'!$B$1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Analysis'!$A$2:$A$3</c:f>
              <c:strCache>
                <c:ptCount val="1"/>
                <c:pt idx="0">
                  <c:v>North</c:v>
                </c:pt>
              </c:strCache>
            </c:strRef>
          </c:cat>
          <c:val>
            <c:numRef>
              <c:f>'Pivot Analysis'!$B$2:$B$3</c:f>
              <c:numCache>
                <c:formatCode>General</c:formatCode>
                <c:ptCount val="1"/>
                <c:pt idx="0">
                  <c:v>749.97</c:v>
                </c:pt>
              </c:numCache>
            </c:numRef>
          </c:val>
          <c:extLst>
            <c:ext xmlns:c16="http://schemas.microsoft.com/office/drawing/2014/chart" uri="{C3380CC4-5D6E-409C-BE32-E72D297353CC}">
              <c16:uniqueId val="{00000000-9225-49EB-8C11-E7656B3F901D}"/>
            </c:ext>
          </c:extLst>
        </c:ser>
        <c:dLbls>
          <c:showLegendKey val="0"/>
          <c:showVal val="0"/>
          <c:showCatName val="0"/>
          <c:showSerName val="0"/>
          <c:showPercent val="0"/>
          <c:showBubbleSize val="0"/>
        </c:dLbls>
        <c:gapWidth val="65"/>
        <c:shape val="box"/>
        <c:axId val="2093858624"/>
        <c:axId val="1857320272"/>
        <c:axId val="0"/>
      </c:bar3DChart>
      <c:catAx>
        <c:axId val="20938586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7320272"/>
        <c:crosses val="autoZero"/>
        <c:auto val="1"/>
        <c:lblAlgn val="ctr"/>
        <c:lblOffset val="100"/>
        <c:noMultiLvlLbl val="0"/>
      </c:catAx>
      <c:valAx>
        <c:axId val="185732027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938586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Analysis!PivotTable13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Revenue by Product</a:t>
            </a:r>
          </a:p>
        </c:rich>
      </c:tx>
      <c:layout>
        <c:manualLayout>
          <c:xMode val="edge"/>
          <c:yMode val="edge"/>
          <c:x val="0.23538188976377958"/>
          <c:y val="0.1424978127734033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512270341207346"/>
          <c:y val="0.29050707203266257"/>
          <c:w val="0.25541338582677164"/>
          <c:h val="0.60709354039078445"/>
        </c:manualLayout>
      </c:layout>
      <c:bar3DChart>
        <c:barDir val="bar"/>
        <c:grouping val="clustered"/>
        <c:varyColors val="0"/>
        <c:ser>
          <c:idx val="0"/>
          <c:order val="0"/>
          <c:tx>
            <c:strRef>
              <c:f>'Pivot Analysis'!$E$1</c:f>
              <c:strCache>
                <c:ptCount val="1"/>
                <c:pt idx="0">
                  <c:v>Sum of Quantity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Analysis'!$D$2:$D$3</c:f>
              <c:strCache>
                <c:ptCount val="1"/>
                <c:pt idx="0">
                  <c:v>Monitor</c:v>
                </c:pt>
              </c:strCache>
            </c:strRef>
          </c:cat>
          <c:val>
            <c:numRef>
              <c:f>'Pivot Analysis'!$E$2:$E$3</c:f>
              <c:numCache>
                <c:formatCode>General</c:formatCode>
                <c:ptCount val="1"/>
                <c:pt idx="0">
                  <c:v>3</c:v>
                </c:pt>
              </c:numCache>
            </c:numRef>
          </c:val>
          <c:extLst>
            <c:ext xmlns:c16="http://schemas.microsoft.com/office/drawing/2014/chart" uri="{C3380CC4-5D6E-409C-BE32-E72D297353CC}">
              <c16:uniqueId val="{00000000-1962-4E3B-9FA2-2017C7C3E96E}"/>
            </c:ext>
          </c:extLst>
        </c:ser>
        <c:ser>
          <c:idx val="1"/>
          <c:order val="1"/>
          <c:tx>
            <c:strRef>
              <c:f>'Pivot Analysis'!$F$1</c:f>
              <c:strCache>
                <c:ptCount val="1"/>
                <c:pt idx="0">
                  <c:v>Sum of Total_Amount</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Analysis'!$D$2:$D$3</c:f>
              <c:strCache>
                <c:ptCount val="1"/>
                <c:pt idx="0">
                  <c:v>Monitor</c:v>
                </c:pt>
              </c:strCache>
            </c:strRef>
          </c:cat>
          <c:val>
            <c:numRef>
              <c:f>'Pivot Analysis'!$F$2:$F$3</c:f>
              <c:numCache>
                <c:formatCode>General</c:formatCode>
                <c:ptCount val="1"/>
                <c:pt idx="0">
                  <c:v>749.97</c:v>
                </c:pt>
              </c:numCache>
            </c:numRef>
          </c:val>
          <c:extLst>
            <c:ext xmlns:c16="http://schemas.microsoft.com/office/drawing/2014/chart" uri="{C3380CC4-5D6E-409C-BE32-E72D297353CC}">
              <c16:uniqueId val="{00000001-1962-4E3B-9FA2-2017C7C3E96E}"/>
            </c:ext>
          </c:extLst>
        </c:ser>
        <c:dLbls>
          <c:showLegendKey val="0"/>
          <c:showVal val="0"/>
          <c:showCatName val="0"/>
          <c:showSerName val="0"/>
          <c:showPercent val="0"/>
          <c:showBubbleSize val="0"/>
        </c:dLbls>
        <c:gapWidth val="65"/>
        <c:shape val="box"/>
        <c:axId val="348111440"/>
        <c:axId val="347997616"/>
        <c:axId val="0"/>
      </c:bar3DChart>
      <c:catAx>
        <c:axId val="3481114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7997616"/>
        <c:crosses val="autoZero"/>
        <c:auto val="1"/>
        <c:lblAlgn val="ctr"/>
        <c:lblOffset val="100"/>
        <c:noMultiLvlLbl val="0"/>
      </c:catAx>
      <c:valAx>
        <c:axId val="34799761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4811144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Analysis!PivotTable14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Analysis'!$I$1</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Analysis'!$H$2:$H$3</c:f>
              <c:strCache>
                <c:ptCount val="1"/>
                <c:pt idx="0">
                  <c:v>Apr</c:v>
                </c:pt>
              </c:strCache>
            </c:strRef>
          </c:cat>
          <c:val>
            <c:numRef>
              <c:f>'Pivot Analysis'!$I$2:$I$3</c:f>
              <c:numCache>
                <c:formatCode>General</c:formatCode>
                <c:ptCount val="1"/>
                <c:pt idx="0">
                  <c:v>749.97</c:v>
                </c:pt>
              </c:numCache>
            </c:numRef>
          </c:val>
          <c:smooth val="0"/>
          <c:extLst>
            <c:ext xmlns:c16="http://schemas.microsoft.com/office/drawing/2014/chart" uri="{C3380CC4-5D6E-409C-BE32-E72D297353CC}">
              <c16:uniqueId val="{00000000-B19E-46BB-BCB2-8E987A39E23E}"/>
            </c:ext>
          </c:extLst>
        </c:ser>
        <c:dLbls>
          <c:dLblPos val="ctr"/>
          <c:showLegendKey val="0"/>
          <c:showVal val="1"/>
          <c:showCatName val="0"/>
          <c:showSerName val="0"/>
          <c:showPercent val="0"/>
          <c:showBubbleSize val="0"/>
        </c:dLbls>
        <c:marker val="1"/>
        <c:smooth val="0"/>
        <c:axId val="2083154752"/>
        <c:axId val="347935696"/>
      </c:lineChart>
      <c:catAx>
        <c:axId val="20831547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7935696"/>
        <c:crosses val="autoZero"/>
        <c:auto val="1"/>
        <c:lblAlgn val="ctr"/>
        <c:lblOffset val="100"/>
        <c:noMultiLvlLbl val="0"/>
      </c:catAx>
      <c:valAx>
        <c:axId val="3479356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8315475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Analysis!PivotTable11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N"/>
              <a:t>Revenue by Category</a:t>
            </a: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Analysis'!$B$9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FF8-4628-8079-B3D54CF1E38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FF8-4628-8079-B3D54CF1E381}"/>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FF8-4628-8079-B3D54CF1E3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Analysis'!$A$10:$A$11</c:f>
              <c:strCache>
                <c:ptCount val="1"/>
                <c:pt idx="0">
                  <c:v>Electronics</c:v>
                </c:pt>
              </c:strCache>
            </c:strRef>
          </c:cat>
          <c:val>
            <c:numRef>
              <c:f>'Pivot Analysis'!$B$10:$B$11</c:f>
              <c:numCache>
                <c:formatCode>General</c:formatCode>
                <c:ptCount val="1"/>
                <c:pt idx="0">
                  <c:v>749.97</c:v>
                </c:pt>
              </c:numCache>
            </c:numRef>
          </c:val>
          <c:extLst>
            <c:ext xmlns:c16="http://schemas.microsoft.com/office/drawing/2014/chart" uri="{C3380CC4-5D6E-409C-BE32-E72D297353CC}">
              <c16:uniqueId val="{00000006-0FF8-4628-8079-B3D54CF1E38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Analysis!PivotTable10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layout>
        <c:manualLayout>
          <c:xMode val="edge"/>
          <c:yMode val="edge"/>
          <c:x val="0.29829155730533685"/>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391426071741032"/>
          <c:y val="0.26735892388451443"/>
          <c:w val="0.82860870516185481"/>
          <c:h val="0.51552165354330715"/>
        </c:manualLayout>
      </c:layout>
      <c:bar3DChart>
        <c:barDir val="col"/>
        <c:grouping val="clustered"/>
        <c:varyColors val="0"/>
        <c:ser>
          <c:idx val="0"/>
          <c:order val="0"/>
          <c:tx>
            <c:strRef>
              <c:f>'Pivot Analysis'!$B$1</c:f>
              <c:strCache>
                <c:ptCount val="1"/>
                <c:pt idx="0">
                  <c:v>Total</c:v>
                </c:pt>
              </c:strCache>
            </c:strRef>
          </c:tx>
          <c:spPr>
            <a:solidFill>
              <a:schemeClr val="accent1"/>
            </a:solidFill>
            <a:ln>
              <a:noFill/>
            </a:ln>
            <a:effectLst/>
            <a:sp3d/>
          </c:spPr>
          <c:invertIfNegative val="0"/>
          <c:cat>
            <c:strRef>
              <c:f>'Pivot Analysis'!$A$2:$A$3</c:f>
              <c:strCache>
                <c:ptCount val="1"/>
                <c:pt idx="0">
                  <c:v>North</c:v>
                </c:pt>
              </c:strCache>
            </c:strRef>
          </c:cat>
          <c:val>
            <c:numRef>
              <c:f>'Pivot Analysis'!$B$2:$B$3</c:f>
              <c:numCache>
                <c:formatCode>General</c:formatCode>
                <c:ptCount val="1"/>
                <c:pt idx="0">
                  <c:v>749.97</c:v>
                </c:pt>
              </c:numCache>
            </c:numRef>
          </c:val>
          <c:extLst>
            <c:ext xmlns:c16="http://schemas.microsoft.com/office/drawing/2014/chart" uri="{C3380CC4-5D6E-409C-BE32-E72D297353CC}">
              <c16:uniqueId val="{00000000-7290-462C-A01B-1779FF80F7DE}"/>
            </c:ext>
          </c:extLst>
        </c:ser>
        <c:dLbls>
          <c:showLegendKey val="0"/>
          <c:showVal val="0"/>
          <c:showCatName val="0"/>
          <c:showSerName val="0"/>
          <c:showPercent val="0"/>
          <c:showBubbleSize val="0"/>
        </c:dLbls>
        <c:gapWidth val="150"/>
        <c:shape val="box"/>
        <c:axId val="2093858624"/>
        <c:axId val="1857320272"/>
        <c:axId val="0"/>
      </c:bar3DChart>
      <c:catAx>
        <c:axId val="2093858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320272"/>
        <c:crosses val="autoZero"/>
        <c:auto val="1"/>
        <c:lblAlgn val="ctr"/>
        <c:lblOffset val="100"/>
        <c:noMultiLvlLbl val="0"/>
      </c:catAx>
      <c:valAx>
        <c:axId val="185732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85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Analysis!PivotTable13</c:name>
    <c:fmtId val="2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Revenue by Product</a:t>
            </a:r>
          </a:p>
        </c:rich>
      </c:tx>
      <c:layout>
        <c:manualLayout>
          <c:xMode val="edge"/>
          <c:yMode val="edge"/>
          <c:x val="0.23538188976377958"/>
          <c:y val="0.1424978127734033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0512270341207346"/>
          <c:y val="0.29050707203266257"/>
          <c:w val="0.25541338582677164"/>
          <c:h val="0.60709354039078445"/>
        </c:manualLayout>
      </c:layout>
      <c:bar3DChart>
        <c:barDir val="bar"/>
        <c:grouping val="clustered"/>
        <c:varyColors val="0"/>
        <c:ser>
          <c:idx val="0"/>
          <c:order val="0"/>
          <c:tx>
            <c:strRef>
              <c:f>'Pivot Analysis'!$E$1</c:f>
              <c:strCache>
                <c:ptCount val="1"/>
                <c:pt idx="0">
                  <c:v>Sum of Quantity</c:v>
                </c:pt>
              </c:strCache>
            </c:strRef>
          </c:tx>
          <c:spPr>
            <a:solidFill>
              <a:schemeClr val="accent1"/>
            </a:solidFill>
            <a:ln>
              <a:noFill/>
            </a:ln>
            <a:effectLst/>
            <a:sp3d/>
          </c:spPr>
          <c:invertIfNegative val="0"/>
          <c:cat>
            <c:strRef>
              <c:f>'Pivot Analysis'!$D$2:$D$3</c:f>
              <c:strCache>
                <c:ptCount val="1"/>
                <c:pt idx="0">
                  <c:v>Monitor</c:v>
                </c:pt>
              </c:strCache>
            </c:strRef>
          </c:cat>
          <c:val>
            <c:numRef>
              <c:f>'Pivot Analysis'!$E$2:$E$3</c:f>
              <c:numCache>
                <c:formatCode>General</c:formatCode>
                <c:ptCount val="1"/>
                <c:pt idx="0">
                  <c:v>3</c:v>
                </c:pt>
              </c:numCache>
            </c:numRef>
          </c:val>
          <c:extLst>
            <c:ext xmlns:c16="http://schemas.microsoft.com/office/drawing/2014/chart" uri="{C3380CC4-5D6E-409C-BE32-E72D297353CC}">
              <c16:uniqueId val="{00000000-2833-4FB6-9235-A541A8DFB8DF}"/>
            </c:ext>
          </c:extLst>
        </c:ser>
        <c:ser>
          <c:idx val="1"/>
          <c:order val="1"/>
          <c:tx>
            <c:strRef>
              <c:f>'Pivot Analysis'!$F$1</c:f>
              <c:strCache>
                <c:ptCount val="1"/>
                <c:pt idx="0">
                  <c:v>Sum of Total_Amount</c:v>
                </c:pt>
              </c:strCache>
            </c:strRef>
          </c:tx>
          <c:spPr>
            <a:solidFill>
              <a:schemeClr val="accent3"/>
            </a:solidFill>
            <a:ln>
              <a:noFill/>
            </a:ln>
            <a:effectLst/>
            <a:sp3d/>
          </c:spPr>
          <c:invertIfNegative val="0"/>
          <c:cat>
            <c:strRef>
              <c:f>'Pivot Analysis'!$D$2:$D$3</c:f>
              <c:strCache>
                <c:ptCount val="1"/>
                <c:pt idx="0">
                  <c:v>Monitor</c:v>
                </c:pt>
              </c:strCache>
            </c:strRef>
          </c:cat>
          <c:val>
            <c:numRef>
              <c:f>'Pivot Analysis'!$F$2:$F$3</c:f>
              <c:numCache>
                <c:formatCode>General</c:formatCode>
                <c:ptCount val="1"/>
                <c:pt idx="0">
                  <c:v>749.97</c:v>
                </c:pt>
              </c:numCache>
            </c:numRef>
          </c:val>
          <c:extLst>
            <c:ext xmlns:c16="http://schemas.microsoft.com/office/drawing/2014/chart" uri="{C3380CC4-5D6E-409C-BE32-E72D297353CC}">
              <c16:uniqueId val="{00000001-2833-4FB6-9235-A541A8DFB8DF}"/>
            </c:ext>
          </c:extLst>
        </c:ser>
        <c:dLbls>
          <c:showLegendKey val="0"/>
          <c:showVal val="0"/>
          <c:showCatName val="0"/>
          <c:showSerName val="0"/>
          <c:showPercent val="0"/>
          <c:showBubbleSize val="0"/>
        </c:dLbls>
        <c:gapWidth val="150"/>
        <c:shape val="box"/>
        <c:axId val="348111440"/>
        <c:axId val="347997616"/>
        <c:axId val="0"/>
      </c:bar3DChart>
      <c:catAx>
        <c:axId val="34811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47997616"/>
        <c:crosses val="autoZero"/>
        <c:auto val="1"/>
        <c:lblAlgn val="ctr"/>
        <c:lblOffset val="100"/>
        <c:noMultiLvlLbl val="0"/>
      </c:catAx>
      <c:valAx>
        <c:axId val="347997616"/>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1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Analysis!PivotTable11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Category</a:t>
            </a:r>
            <a:endParaRPr lang="en-US"/>
          </a:p>
        </c:rich>
      </c:tx>
      <c:layout>
        <c:manualLayout>
          <c:xMode val="edge"/>
          <c:yMode val="edge"/>
          <c:x val="0.24290949252027377"/>
          <c:y val="9.806438163278692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pivotFmt>
      <c:pivotFmt>
        <c:idx val="16"/>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Analysis'!$B$9</c:f>
              <c:strCache>
                <c:ptCount val="1"/>
                <c:pt idx="0">
                  <c:v>Total</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1-9164-4C73-8D3E-A7B247077799}"/>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3-9164-4C73-8D3E-A7B247077799}"/>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prstMaterial="flat">
                <a:bevelT w="95250" h="101600"/>
                <a:contourClr>
                  <a:scrgbClr r="0" g="0" b="0">
                    <a:satMod val="300000"/>
                  </a:scrgbClr>
                </a:contourClr>
              </a:sp3d>
            </c:spPr>
            <c:extLst>
              <c:ext xmlns:c16="http://schemas.microsoft.com/office/drawing/2014/chart" uri="{C3380CC4-5D6E-409C-BE32-E72D297353CC}">
                <c16:uniqueId val="{00000005-9164-4C73-8D3E-A7B2470777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Analysis'!$A$10:$A$11</c:f>
              <c:strCache>
                <c:ptCount val="1"/>
                <c:pt idx="0">
                  <c:v>Electronics</c:v>
                </c:pt>
              </c:strCache>
            </c:strRef>
          </c:cat>
          <c:val>
            <c:numRef>
              <c:f>'Pivot Analysis'!$B$10:$B$11</c:f>
              <c:numCache>
                <c:formatCode>General</c:formatCode>
                <c:ptCount val="1"/>
                <c:pt idx="0">
                  <c:v>749.97</c:v>
                </c:pt>
              </c:numCache>
            </c:numRef>
          </c:val>
          <c:extLst>
            <c:ext xmlns:c16="http://schemas.microsoft.com/office/drawing/2014/chart" uri="{C3380CC4-5D6E-409C-BE32-E72D297353CC}">
              <c16:uniqueId val="{00000006-9164-4C73-8D3E-A7B247077799}"/>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Analysis!PivotTable14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Analysis'!$I$1</c:f>
              <c:strCache>
                <c:ptCount val="1"/>
                <c:pt idx="0">
                  <c:v>Total</c:v>
                </c:pt>
              </c:strCache>
            </c:strRef>
          </c:tx>
          <c:spPr>
            <a:ln w="34925" cap="rnd">
              <a:solidFill>
                <a:schemeClr val="accent2"/>
              </a:solidFill>
              <a:round/>
            </a:ln>
            <a:effectLst>
              <a:outerShdw blurRad="63500" dist="38100" dir="5400000" rotWithShape="0">
                <a:srgbClr val="000000">
                  <a:alpha val="45000"/>
                </a:srgbClr>
              </a:outerShdw>
            </a:effectLst>
          </c:spPr>
          <c:marker>
            <c:symbol val="circle"/>
            <c:size val="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w="9525">
                <a:solidFill>
                  <a:schemeClr val="accent2"/>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Analysis'!$H$2:$H$3</c:f>
              <c:strCache>
                <c:ptCount val="1"/>
                <c:pt idx="0">
                  <c:v>Apr</c:v>
                </c:pt>
              </c:strCache>
            </c:strRef>
          </c:cat>
          <c:val>
            <c:numRef>
              <c:f>'Pivot Analysis'!$I$2:$I$3</c:f>
              <c:numCache>
                <c:formatCode>General</c:formatCode>
                <c:ptCount val="1"/>
                <c:pt idx="0">
                  <c:v>749.97</c:v>
                </c:pt>
              </c:numCache>
            </c:numRef>
          </c:val>
          <c:smooth val="0"/>
          <c:extLst>
            <c:ext xmlns:c16="http://schemas.microsoft.com/office/drawing/2014/chart" uri="{C3380CC4-5D6E-409C-BE32-E72D297353CC}">
              <c16:uniqueId val="{00000000-72A8-4FCE-8148-18204007FBB8}"/>
            </c:ext>
          </c:extLst>
        </c:ser>
        <c:dLbls>
          <c:dLblPos val="ctr"/>
          <c:showLegendKey val="0"/>
          <c:showVal val="1"/>
          <c:showCatName val="0"/>
          <c:showSerName val="0"/>
          <c:showPercent val="0"/>
          <c:showBubbleSize val="0"/>
        </c:dLbls>
        <c:marker val="1"/>
        <c:smooth val="0"/>
        <c:axId val="2083154752"/>
        <c:axId val="347935696"/>
      </c:lineChart>
      <c:catAx>
        <c:axId val="20831547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5696"/>
        <c:crosses val="autoZero"/>
        <c:auto val="1"/>
        <c:lblAlgn val="ctr"/>
        <c:lblOffset val="100"/>
        <c:noMultiLvlLbl val="0"/>
      </c:catAx>
      <c:valAx>
        <c:axId val="34793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154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3" name="Chart 2">
          <a:extLst>
            <a:ext uri="{FF2B5EF4-FFF2-40B4-BE49-F238E27FC236}">
              <a16:creationId xmlns:a16="http://schemas.microsoft.com/office/drawing/2014/main" id="{50753571-7233-4435-B2BA-4BBB1B4F9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xdr:row>
      <xdr:rowOff>137160</xdr:rowOff>
    </xdr:from>
    <xdr:to>
      <xdr:col>7</xdr:col>
      <xdr:colOff>304800</xdr:colOff>
      <xdr:row>30</xdr:row>
      <xdr:rowOff>137160</xdr:rowOff>
    </xdr:to>
    <xdr:graphicFrame macro="">
      <xdr:nvGraphicFramePr>
        <xdr:cNvPr id="4" name="Chart 3">
          <a:extLst>
            <a:ext uri="{FF2B5EF4-FFF2-40B4-BE49-F238E27FC236}">
              <a16:creationId xmlns:a16="http://schemas.microsoft.com/office/drawing/2014/main" id="{C7A88112-4A9C-48D3-A6AE-AE7357D1F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0</xdr:row>
      <xdr:rowOff>0</xdr:rowOff>
    </xdr:from>
    <xdr:to>
      <xdr:col>15</xdr:col>
      <xdr:colOff>304800</xdr:colOff>
      <xdr:row>15</xdr:row>
      <xdr:rowOff>0</xdr:rowOff>
    </xdr:to>
    <xdr:graphicFrame macro="">
      <xdr:nvGraphicFramePr>
        <xdr:cNvPr id="5" name="Chart 4">
          <a:extLst>
            <a:ext uri="{FF2B5EF4-FFF2-40B4-BE49-F238E27FC236}">
              <a16:creationId xmlns:a16="http://schemas.microsoft.com/office/drawing/2014/main" id="{2B0A62AB-659F-4487-B7E6-EF66A61AF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16</xdr:row>
      <xdr:rowOff>0</xdr:rowOff>
    </xdr:from>
    <xdr:to>
      <xdr:col>15</xdr:col>
      <xdr:colOff>304800</xdr:colOff>
      <xdr:row>31</xdr:row>
      <xdr:rowOff>0</xdr:rowOff>
    </xdr:to>
    <xdr:graphicFrame macro="">
      <xdr:nvGraphicFramePr>
        <xdr:cNvPr id="6" name="Chart 5">
          <a:extLst>
            <a:ext uri="{FF2B5EF4-FFF2-40B4-BE49-F238E27FC236}">
              <a16:creationId xmlns:a16="http://schemas.microsoft.com/office/drawing/2014/main" id="{4DF307B0-95CA-4A67-B57F-38471EC81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65033</xdr:rowOff>
    </xdr:from>
    <xdr:to>
      <xdr:col>5</xdr:col>
      <xdr:colOff>263686</xdr:colOff>
      <xdr:row>25</xdr:row>
      <xdr:rowOff>215660</xdr:rowOff>
    </xdr:to>
    <xdr:graphicFrame macro="">
      <xdr:nvGraphicFramePr>
        <xdr:cNvPr id="9" name="Chart 8">
          <a:extLst>
            <a:ext uri="{FF2B5EF4-FFF2-40B4-BE49-F238E27FC236}">
              <a16:creationId xmlns:a16="http://schemas.microsoft.com/office/drawing/2014/main" id="{6A3132F7-4F06-4097-B1A9-6C849C4F4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7</xdr:col>
      <xdr:colOff>392695</xdr:colOff>
      <xdr:row>40</xdr:row>
      <xdr:rowOff>0</xdr:rowOff>
    </xdr:to>
    <xdr:graphicFrame macro="">
      <xdr:nvGraphicFramePr>
        <xdr:cNvPr id="11" name="Chart 10">
          <a:extLst>
            <a:ext uri="{FF2B5EF4-FFF2-40B4-BE49-F238E27FC236}">
              <a16:creationId xmlns:a16="http://schemas.microsoft.com/office/drawing/2014/main" id="{2F411648-75D6-46E7-B58B-7BF0A0E49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495150</xdr:colOff>
      <xdr:row>26</xdr:row>
      <xdr:rowOff>0</xdr:rowOff>
    </xdr:from>
    <xdr:to>
      <xdr:col>12</xdr:col>
      <xdr:colOff>0</xdr:colOff>
      <xdr:row>40</xdr:row>
      <xdr:rowOff>0</xdr:rowOff>
    </xdr:to>
    <xdr:graphicFrame macro="">
      <xdr:nvGraphicFramePr>
        <xdr:cNvPr id="12" name="Chart 11">
          <a:extLst>
            <a:ext uri="{FF2B5EF4-FFF2-40B4-BE49-F238E27FC236}">
              <a16:creationId xmlns:a16="http://schemas.microsoft.com/office/drawing/2014/main" id="{70F48756-A068-4376-8B0F-82B1DC788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128649</xdr:colOff>
      <xdr:row>10</xdr:row>
      <xdr:rowOff>0</xdr:rowOff>
    </xdr:from>
    <xdr:to>
      <xdr:col>12</xdr:col>
      <xdr:colOff>49480</xdr:colOff>
      <xdr:row>25</xdr:row>
      <xdr:rowOff>71252</xdr:rowOff>
    </xdr:to>
    <xdr:graphicFrame macro="">
      <xdr:nvGraphicFramePr>
        <xdr:cNvPr id="13" name="Chart 12">
          <a:extLst>
            <a:ext uri="{FF2B5EF4-FFF2-40B4-BE49-F238E27FC236}">
              <a16:creationId xmlns:a16="http://schemas.microsoft.com/office/drawing/2014/main" id="{4CB89154-2349-40A9-B069-E1C591339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10</xdr:row>
      <xdr:rowOff>1</xdr:rowOff>
    </xdr:from>
    <xdr:to>
      <xdr:col>16</xdr:col>
      <xdr:colOff>4597</xdr:colOff>
      <xdr:row>18</xdr:row>
      <xdr:rowOff>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A48BC350-0C4B-4DBE-BAFE-4A160E8D68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137605" y="2675861"/>
              <a:ext cx="4275341" cy="1860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9062</xdr:colOff>
      <xdr:row>19</xdr:row>
      <xdr:rowOff>0</xdr:rowOff>
    </xdr:from>
    <xdr:to>
      <xdr:col>16</xdr:col>
      <xdr:colOff>4596</xdr:colOff>
      <xdr:row>25</xdr:row>
      <xdr:rowOff>4542</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9B30ED42-4390-4E0A-9E14-D74B771AB88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146667" y="4775791"/>
              <a:ext cx="4266278" cy="1397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9062</xdr:colOff>
      <xdr:row>26</xdr:row>
      <xdr:rowOff>1</xdr:rowOff>
    </xdr:from>
    <xdr:to>
      <xdr:col>16</xdr:col>
      <xdr:colOff>4596</xdr:colOff>
      <xdr:row>32</xdr:row>
      <xdr:rowOff>1</xdr:rowOff>
    </xdr:to>
    <mc:AlternateContent xmlns:mc="http://schemas.openxmlformats.org/markup-compatibility/2006" xmlns:a14="http://schemas.microsoft.com/office/drawing/2010/main">
      <mc:Choice Requires="a14">
        <xdr:graphicFrame macro="">
          <xdr:nvGraphicFramePr>
            <xdr:cNvPr id="21" name="Product_Name 1">
              <a:extLst>
                <a:ext uri="{FF2B5EF4-FFF2-40B4-BE49-F238E27FC236}">
                  <a16:creationId xmlns:a16="http://schemas.microsoft.com/office/drawing/2014/main" id="{B31C2CC8-04EA-4D96-96F6-BCE060D37D61}"/>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1146667" y="6414978"/>
              <a:ext cx="4266278" cy="1382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9062</xdr:colOff>
      <xdr:row>33</xdr:row>
      <xdr:rowOff>1</xdr:rowOff>
    </xdr:from>
    <xdr:to>
      <xdr:col>16</xdr:col>
      <xdr:colOff>4596</xdr:colOff>
      <xdr:row>40</xdr:row>
      <xdr:rowOff>1</xdr:rowOff>
    </xdr:to>
    <mc:AlternateContent xmlns:mc="http://schemas.openxmlformats.org/markup-compatibility/2006" xmlns:a14="http://schemas.microsoft.com/office/drawing/2010/main">
      <mc:Choice Requires="a14">
        <xdr:graphicFrame macro="">
          <xdr:nvGraphicFramePr>
            <xdr:cNvPr id="22" name="Months (Date) 1">
              <a:extLst>
                <a:ext uri="{FF2B5EF4-FFF2-40B4-BE49-F238E27FC236}">
                  <a16:creationId xmlns:a16="http://schemas.microsoft.com/office/drawing/2014/main" id="{045C6CF1-D5B5-432C-B41F-214A92464EF9}"/>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1146667" y="8027582"/>
              <a:ext cx="4266278" cy="1612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xdr:row>
      <xdr:rowOff>157700</xdr:rowOff>
    </xdr:from>
    <xdr:to>
      <xdr:col>12</xdr:col>
      <xdr:colOff>94180</xdr:colOff>
      <xdr:row>9</xdr:row>
      <xdr:rowOff>128426</xdr:rowOff>
    </xdr:to>
    <mc:AlternateContent xmlns:mc="http://schemas.openxmlformats.org/markup-compatibility/2006" xmlns:tsle="http://schemas.microsoft.com/office/drawing/2012/timeslicer">
      <mc:Choice Requires="tsle">
        <xdr:graphicFrame macro="">
          <xdr:nvGraphicFramePr>
            <xdr:cNvPr id="23" name="Date 1">
              <a:extLst>
                <a:ext uri="{FF2B5EF4-FFF2-40B4-BE49-F238E27FC236}">
                  <a16:creationId xmlns:a16="http://schemas.microsoft.com/office/drawing/2014/main" id="{2648BC07-3715-4328-BC72-7887A087530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50605" y="1185514"/>
              <a:ext cx="9769808" cy="1388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nal" refreshedDate="46276.522867245367" createdVersion="8" refreshedVersion="8" minRefreshableVersion="3" recordCount="250" xr:uid="{223631D7-3897-4183-9F34-B4B95D2EBFF6}">
  <cacheSource type="worksheet">
    <worksheetSource name="SalesData"/>
  </cacheSource>
  <cacheFields count="21">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20"/>
    </cacheField>
    <cacheField name="Customer_ID" numFmtId="0">
      <sharedItems count="50">
        <s v="CUST023"/>
        <s v="CUST013"/>
        <s v="CUST021"/>
        <s v="CUST046"/>
        <s v="CUST003"/>
        <s v="CUST024"/>
        <s v="CUST017"/>
        <s v="CUST009"/>
        <s v="CUST026"/>
        <s v="CUST022"/>
        <s v="CUST041"/>
        <s v="CUST043"/>
        <s v="CUST038"/>
        <s v="CUST027"/>
        <s v="CUST025"/>
        <s v="CUST010"/>
        <s v="CUST048"/>
        <s v="CUST018"/>
        <s v="CUST012"/>
        <s v="CUST044"/>
        <s v="CUST036"/>
        <s v="CUST014"/>
        <s v="CUST030"/>
        <s v="CUST029"/>
        <s v="CUST006"/>
        <s v="CUST002"/>
        <s v="CUST031"/>
        <s v="CUST008"/>
        <s v="CUST035"/>
        <s v="CUST019"/>
        <s v="CUST040"/>
        <s v="CUST004"/>
        <s v="CUST028"/>
        <s v="CUST050"/>
        <s v="CUST049"/>
        <s v="CUST007"/>
        <s v="CUST020"/>
        <s v="CUST033"/>
        <s v="CUST047"/>
        <s v="CUST016"/>
        <s v="CUST039"/>
        <s v="CUST034"/>
        <s v="CUST032"/>
        <s v="CUST042"/>
        <s v="CUST011"/>
        <s v="CUST015"/>
        <s v="CUST045"/>
        <s v="CUST005"/>
        <s v="CUST037"/>
        <s v="CUST001"/>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Customer_Age_Days" numFmtId="0">
      <sharedItems containsSemiMixedTypes="0" containsString="0" containsNumber="1" containsInteger="1" minValue="883" maxValue="46276"/>
    </cacheField>
    <cacheField name="Customer_Age_Years" numFmtId="0">
      <sharedItems containsSemiMixedTypes="0" containsString="0" containsNumber="1" containsInteger="1" minValue="2" maxValue="126"/>
    </cacheField>
    <cacheField name=" Month_End" numFmtId="14">
      <sharedItems containsSemiMixedTypes="0" containsNonDate="0" containsDate="1" containsString="0" minDate="1900-01-30T00:00:00" maxDate="2025-05-01T00:00:00"/>
    </cacheField>
    <cacheField name="Timestamp" numFmtId="22">
      <sharedItems containsSemiMixedTypes="0" containsNonDate="0" containsDate="1" containsString="0" minDate="2026-09-11T12:28:26" maxDate="2026-09-11T12:28:26"/>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019169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x v="0"/>
    <s v="Paul Baker"/>
    <s v="P009"/>
    <x v="0"/>
    <x v="0"/>
    <n v="3"/>
    <n v="249.99"/>
    <x v="0"/>
    <x v="0"/>
    <x v="0"/>
    <d v="2021-08-17T00:00:00"/>
    <n v="749.97"/>
    <n v="1230"/>
    <n v="3"/>
    <d v="2024-05-31T00:00:00"/>
    <d v="2026-09-11T12:28:26"/>
  </r>
  <r>
    <s v="TRX0023"/>
    <x v="1"/>
    <x v="1"/>
    <s v="Joseph Jackson"/>
    <s v="P009"/>
    <x v="0"/>
    <x v="0"/>
    <n v="3"/>
    <n v="249.99"/>
    <x v="1"/>
    <x v="0"/>
    <x v="1"/>
    <d v="2022-01-14T00:00:00"/>
    <n v="749.97"/>
    <n v="984"/>
    <n v="2"/>
    <d v="2024-05-31T00:00:00"/>
    <d v="2026-09-11T12:28:26"/>
  </r>
  <r>
    <s v="TRX0139"/>
    <x v="2"/>
    <x v="2"/>
    <s v="Kevin Scott"/>
    <s v="P005"/>
    <x v="1"/>
    <x v="1"/>
    <n v="3"/>
    <n v="59.99"/>
    <x v="2"/>
    <x v="1"/>
    <x v="2"/>
    <d v="2023-12-02T00:00:00"/>
    <n v="179.97"/>
    <n v="1869"/>
    <n v="5"/>
    <d v="2024-05-31T00:00:00"/>
    <d v="2026-09-11T12:28:26"/>
  </r>
  <r>
    <s v="TRX0043"/>
    <x v="3"/>
    <x v="3"/>
    <s v="Kathleen Bennett"/>
    <s v="P005"/>
    <x v="1"/>
    <x v="1"/>
    <n v="3"/>
    <n v="59.99"/>
    <x v="0"/>
    <x v="2"/>
    <x v="1"/>
    <d v="2023-07-07T00:00:00"/>
    <n v="179.97"/>
    <n v="1156"/>
    <n v="3"/>
    <d v="2024-05-31T00:00:00"/>
    <d v="2026-09-11T12:28:26"/>
  </r>
  <r>
    <s v="TRX0212"/>
    <x v="3"/>
    <x v="4"/>
    <s v="Michael Brown"/>
    <s v="P008"/>
    <x v="2"/>
    <x v="2"/>
    <n v="5"/>
    <n v="149.99"/>
    <x v="1"/>
    <x v="2"/>
    <x v="1"/>
    <d v="2024-01-04T00:00:00"/>
    <n v="749.95"/>
    <n v="1359"/>
    <n v="3"/>
    <d v="2024-05-31T00:00:00"/>
    <d v="2026-09-11T12:28:26"/>
  </r>
  <r>
    <s v="TRX0092"/>
    <x v="4"/>
    <x v="5"/>
    <s v="Dorothy Nelson"/>
    <s v="P005"/>
    <x v="1"/>
    <x v="1"/>
    <n v="2"/>
    <n v="59.99"/>
    <x v="0"/>
    <x v="3"/>
    <x v="2"/>
    <d v="2022-07-04T00:00:00"/>
    <n v="119.98"/>
    <n v="886"/>
    <n v="2"/>
    <d v="2024-06-30T00:00:00"/>
    <d v="2026-09-11T12:28:26"/>
  </r>
  <r>
    <s v="TRX0193"/>
    <x v="4"/>
    <x v="5"/>
    <s v="Dorothy Nelson"/>
    <s v="P003"/>
    <x v="3"/>
    <x v="0"/>
    <n v="5"/>
    <n v="149.99"/>
    <x v="1"/>
    <x v="0"/>
    <x v="2"/>
    <d v="2021-08-10T00:00:00"/>
    <n v="749.95"/>
    <n v="1135"/>
    <n v="3"/>
    <d v="2024-06-30T00:00:00"/>
    <d v="2026-09-11T12:28:26"/>
  </r>
  <r>
    <s v="TRX0240"/>
    <x v="4"/>
    <x v="6"/>
    <s v="Charles Allen"/>
    <s v="P005"/>
    <x v="1"/>
    <x v="1"/>
    <n v="3"/>
    <n v="59.99"/>
    <x v="3"/>
    <x v="1"/>
    <x v="0"/>
    <d v="2023-03-22T00:00:00"/>
    <n v="179.97"/>
    <n v="1689"/>
    <n v="4"/>
    <d v="2024-06-30T00:00:00"/>
    <d v="2026-09-11T12:28:26"/>
  </r>
  <r>
    <s v="TRX0135"/>
    <x v="5"/>
    <x v="7"/>
    <s v="Robert Thomas"/>
    <s v="P001"/>
    <x v="4"/>
    <x v="0"/>
    <n v="3"/>
    <n v="899.99"/>
    <x v="2"/>
    <x v="4"/>
    <x v="2"/>
    <d v="2024-01-08T00:00:00"/>
    <n v="2699.97"/>
    <n v="1569"/>
    <n v="4"/>
    <d v="2024-06-30T00:00:00"/>
    <d v="2026-09-11T12:28:26"/>
  </r>
  <r>
    <s v="TRX0185"/>
    <x v="6"/>
    <x v="8"/>
    <s v="Karen Hill"/>
    <s v="P005"/>
    <x v="1"/>
    <x v="1"/>
    <n v="3"/>
    <n v="59.99"/>
    <x v="0"/>
    <x v="3"/>
    <x v="1"/>
    <d v="2023-10-08T00:00:00"/>
    <n v="179.97"/>
    <n v="1694"/>
    <n v="4"/>
    <d v="2024-06-30T00:00:00"/>
    <d v="2026-09-11T12:28:26"/>
  </r>
  <r>
    <s v="TRX0138"/>
    <x v="6"/>
    <x v="9"/>
    <s v="Susan Green"/>
    <s v="P008"/>
    <x v="2"/>
    <x v="2"/>
    <n v="1"/>
    <n v="149.99"/>
    <x v="1"/>
    <x v="3"/>
    <x v="2"/>
    <d v="2023-06-26T00:00:00"/>
    <n v="149.99"/>
    <n v="1631"/>
    <n v="4"/>
    <d v="2024-06-30T00:00:00"/>
    <d v="2026-09-11T12:28:26"/>
  </r>
  <r>
    <s v="TRX0209"/>
    <x v="6"/>
    <x v="3"/>
    <s v="Kathleen Bennett"/>
    <s v="P008"/>
    <x v="2"/>
    <x v="2"/>
    <n v="5"/>
    <n v="149.99"/>
    <x v="3"/>
    <x v="2"/>
    <x v="0"/>
    <d v="2022-09-26T00:00:00"/>
    <n v="749.95"/>
    <n v="1841"/>
    <n v="5"/>
    <d v="2024-06-30T00:00:00"/>
    <d v="2026-09-11T12:28:26"/>
  </r>
  <r>
    <s v="TRX0246"/>
    <x v="6"/>
    <x v="10"/>
    <s v="Peter Richardson"/>
    <s v="P008"/>
    <x v="2"/>
    <x v="2"/>
    <n v="3"/>
    <n v="149.99"/>
    <x v="0"/>
    <x v="2"/>
    <x v="1"/>
    <d v="2022-09-02T00:00:00"/>
    <n v="449.97"/>
    <n v="1697"/>
    <n v="4"/>
    <d v="2024-06-30T00:00:00"/>
    <d v="2026-09-11T12:28:26"/>
  </r>
  <r>
    <s v="TRX0067"/>
    <x v="7"/>
    <x v="11"/>
    <s v="Dennis Gray"/>
    <s v="P005"/>
    <x v="1"/>
    <x v="1"/>
    <n v="3"/>
    <n v="59.99"/>
    <x v="1"/>
    <x v="2"/>
    <x v="2"/>
    <d v="2024-02-29T00:00:00"/>
    <n v="179.97"/>
    <n v="1805"/>
    <n v="4"/>
    <d v="2024-06-30T00:00:00"/>
    <d v="2026-09-11T12:28:26"/>
  </r>
  <r>
    <s v="TRX0191"/>
    <x v="7"/>
    <x v="12"/>
    <s v="Michelle Rogers"/>
    <s v="P002"/>
    <x v="5"/>
    <x v="0"/>
    <n v="3"/>
    <n v="699.99"/>
    <x v="1"/>
    <x v="3"/>
    <x v="0"/>
    <d v="2022-01-16T00:00:00"/>
    <n v="2099.9699999999998"/>
    <n v="1302"/>
    <n v="3"/>
    <d v="2024-06-30T00:00:00"/>
    <d v="2026-09-11T12:28:26"/>
  </r>
  <r>
    <s v="TRX0230"/>
    <x v="7"/>
    <x v="13"/>
    <s v="George Adams"/>
    <s v="P001"/>
    <x v="4"/>
    <x v="0"/>
    <n v="1"/>
    <n v="899.99"/>
    <x v="3"/>
    <x v="2"/>
    <x v="2"/>
    <d v="2022-12-25T00:00:00"/>
    <n v="899.99"/>
    <n v="998"/>
    <n v="2"/>
    <d v="2024-06-30T00:00:00"/>
    <d v="2026-09-11T12:28:26"/>
  </r>
  <r>
    <s v="TRX0049"/>
    <x v="8"/>
    <x v="14"/>
    <s v="Mark Carter"/>
    <s v="P008"/>
    <x v="2"/>
    <x v="2"/>
    <n v="4"/>
    <n v="149.99"/>
    <x v="3"/>
    <x v="2"/>
    <x v="1"/>
    <d v="2024-03-23T00:00:00"/>
    <n v="599.96"/>
    <n v="1086"/>
    <n v="2"/>
    <d v="2024-06-30T00:00:00"/>
    <d v="2026-09-11T12:28:26"/>
  </r>
  <r>
    <s v="TRX0134"/>
    <x v="8"/>
    <x v="15"/>
    <s v="Maria Garcia"/>
    <s v="P002"/>
    <x v="5"/>
    <x v="0"/>
    <n v="2"/>
    <n v="699.99"/>
    <x v="0"/>
    <x v="2"/>
    <x v="0"/>
    <d v="2022-08-08T00:00:00"/>
    <n v="1399.98"/>
    <n v="1023"/>
    <n v="2"/>
    <d v="2024-06-30T00:00:00"/>
    <d v="2026-09-11T12:28:26"/>
  </r>
  <r>
    <s v="TRX0122"/>
    <x v="8"/>
    <x v="14"/>
    <s v="Mark Carter"/>
    <s v="P001"/>
    <x v="4"/>
    <x v="0"/>
    <n v="4"/>
    <n v="899.99"/>
    <x v="1"/>
    <x v="3"/>
    <x v="2"/>
    <d v="2024-02-05T00:00:00"/>
    <n v="3599.96"/>
    <n v="995"/>
    <n v="2"/>
    <d v="2024-06-30T00:00:00"/>
    <d v="2026-09-11T12:28:26"/>
  </r>
  <r>
    <s v="TRX0222"/>
    <x v="8"/>
    <x v="16"/>
    <s v="Virginia Sanders"/>
    <s v="P009"/>
    <x v="0"/>
    <x v="0"/>
    <n v="3"/>
    <n v="249.99"/>
    <x v="1"/>
    <x v="2"/>
    <x v="1"/>
    <d v="2023-10-25T00:00:00"/>
    <n v="749.97"/>
    <n v="924"/>
    <n v="2"/>
    <d v="2024-06-30T00:00:00"/>
    <d v="2026-09-11T12:28:26"/>
  </r>
  <r>
    <s v="TRX0231"/>
    <x v="9"/>
    <x v="17"/>
    <s v="Barbara Young"/>
    <s v="P002"/>
    <x v="5"/>
    <x v="0"/>
    <n v="5"/>
    <n v="699.99"/>
    <x v="0"/>
    <x v="3"/>
    <x v="0"/>
    <d v="2023-08-29T00:00:00"/>
    <n v="3499.95"/>
    <n v="1838"/>
    <n v="5"/>
    <d v="2024-06-30T00:00:00"/>
    <d v="2026-09-11T12:28:26"/>
  </r>
  <r>
    <s v="TRX0239"/>
    <x v="10"/>
    <x v="18"/>
    <s v="Patricia Moore"/>
    <s v="P002"/>
    <x v="5"/>
    <x v="0"/>
    <n v="4"/>
    <n v="699.99"/>
    <x v="0"/>
    <x v="4"/>
    <x v="2"/>
    <d v="2021-08-01T00:00:00"/>
    <n v="2799.96"/>
    <n v="1174"/>
    <n v="3"/>
    <d v="2024-06-30T00:00:00"/>
    <d v="2026-09-11T12:28:26"/>
  </r>
  <r>
    <s v="TRX0204"/>
    <x v="11"/>
    <x v="19"/>
    <s v="Cynthia Price"/>
    <s v="P009"/>
    <x v="0"/>
    <x v="0"/>
    <n v="4"/>
    <n v="249.99"/>
    <x v="2"/>
    <x v="2"/>
    <x v="2"/>
    <d v="2021-09-29T00:00:00"/>
    <n v="999.96"/>
    <n v="1283"/>
    <n v="3"/>
    <d v="2024-06-30T00:00:00"/>
    <d v="2026-09-11T12:28:26"/>
  </r>
  <r>
    <s v="TRX0242"/>
    <x v="12"/>
    <x v="14"/>
    <s v="Mark Carter"/>
    <s v="P007"/>
    <x v="6"/>
    <x v="2"/>
    <n v="4"/>
    <n v="299.99"/>
    <x v="0"/>
    <x v="3"/>
    <x v="1"/>
    <d v="2022-06-04T00:00:00"/>
    <n v="1199.96"/>
    <n v="1425"/>
    <n v="3"/>
    <d v="2024-06-30T00:00:00"/>
    <d v="2026-09-11T12:28:26"/>
  </r>
  <r>
    <s v="TRX0071"/>
    <x v="13"/>
    <x v="20"/>
    <s v="Nancy Collins"/>
    <s v="P009"/>
    <x v="0"/>
    <x v="0"/>
    <n v="5"/>
    <n v="249.99"/>
    <x v="1"/>
    <x v="3"/>
    <x v="2"/>
    <d v="2021-11-25T00:00:00"/>
    <n v="1249.95"/>
    <n v="1001"/>
    <n v="2"/>
    <d v="2024-07-31T00:00:00"/>
    <d v="2026-09-11T12:28:26"/>
  </r>
  <r>
    <s v="TRX0040"/>
    <x v="14"/>
    <x v="9"/>
    <s v="Susan Green"/>
    <s v="P007"/>
    <x v="6"/>
    <x v="2"/>
    <n v="5"/>
    <n v="299.99"/>
    <x v="2"/>
    <x v="4"/>
    <x v="0"/>
    <d v="2023-08-30T00:00:00"/>
    <n v="1499.95"/>
    <n v="1474"/>
    <n v="4"/>
    <d v="2024-07-31T00:00:00"/>
    <d v="2026-09-11T12:28:26"/>
  </r>
  <r>
    <s v="TRX0235"/>
    <x v="14"/>
    <x v="21"/>
    <s v="Linda Martin"/>
    <s v="P004"/>
    <x v="7"/>
    <x v="1"/>
    <n v="3"/>
    <n v="79.989999999999995"/>
    <x v="2"/>
    <x v="4"/>
    <x v="1"/>
    <d v="2023-03-27T00:00:00"/>
    <n v="239.97"/>
    <n v="1665"/>
    <n v="4"/>
    <d v="2024-07-31T00:00:00"/>
    <d v="2026-09-11T12:28:26"/>
  </r>
  <r>
    <s v="TRX0004"/>
    <x v="14"/>
    <x v="18"/>
    <s v="Patricia Moore"/>
    <s v="P010"/>
    <x v="8"/>
    <x v="0"/>
    <n v="5"/>
    <n v="89.99"/>
    <x v="0"/>
    <x v="2"/>
    <x v="1"/>
    <d v="2022-12-24T00:00:00"/>
    <n v="449.95"/>
    <n v="1295"/>
    <n v="3"/>
    <d v="2024-07-31T00:00:00"/>
    <d v="2026-09-11T12:28:26"/>
  </r>
  <r>
    <s v="TRX0063"/>
    <x v="15"/>
    <x v="22"/>
    <s v="Helen Roberts"/>
    <s v="P005"/>
    <x v="1"/>
    <x v="1"/>
    <n v="2"/>
    <n v="59.99"/>
    <x v="3"/>
    <x v="0"/>
    <x v="2"/>
    <d v="2023-10-15T00:00:00"/>
    <n v="119.98"/>
    <n v="1855"/>
    <n v="5"/>
    <d v="2024-07-31T00:00:00"/>
    <d v="2026-09-11T12:28:26"/>
  </r>
  <r>
    <s v="TRX0241"/>
    <x v="16"/>
    <x v="23"/>
    <s v="Edward Mitchell"/>
    <s v="P005"/>
    <x v="1"/>
    <x v="1"/>
    <n v="4"/>
    <n v="59.99"/>
    <x v="3"/>
    <x v="4"/>
    <x v="2"/>
    <d v="2022-11-02T00:00:00"/>
    <n v="239.96"/>
    <n v="887"/>
    <n v="2"/>
    <d v="2024-07-31T00:00:00"/>
    <d v="2026-09-11T12:28:26"/>
  </r>
  <r>
    <s v="TRX0029"/>
    <x v="16"/>
    <x v="6"/>
    <s v="Charles Allen"/>
    <s v="P006"/>
    <x v="9"/>
    <x v="2"/>
    <n v="5"/>
    <n v="199.99"/>
    <x v="0"/>
    <x v="1"/>
    <x v="2"/>
    <d v="2021-08-04T00:00:00"/>
    <n v="999.95"/>
    <n v="1115"/>
    <n v="3"/>
    <d v="2024-07-31T00:00:00"/>
    <d v="2026-09-11T12:28:26"/>
  </r>
  <r>
    <s v="TRX0194"/>
    <x v="17"/>
    <x v="24"/>
    <s v="Lisa Anderson"/>
    <s v="P008"/>
    <x v="2"/>
    <x v="2"/>
    <n v="2"/>
    <n v="149.99"/>
    <x v="1"/>
    <x v="3"/>
    <x v="0"/>
    <d v="2022-09-19T00:00:00"/>
    <n v="299.98"/>
    <n v="1767"/>
    <n v="4"/>
    <d v="2024-07-31T00:00:00"/>
    <d v="2026-09-11T12:28:26"/>
  </r>
  <r>
    <s v="TRX0130"/>
    <x v="18"/>
    <x v="25"/>
    <s v="Emma Wilson"/>
    <s v="P008"/>
    <x v="2"/>
    <x v="2"/>
    <n v="3"/>
    <n v="149.99"/>
    <x v="1"/>
    <x v="3"/>
    <x v="1"/>
    <d v="2023-05-22T00:00:00"/>
    <n v="449.97"/>
    <n v="1367"/>
    <n v="3"/>
    <d v="2024-07-31T00:00:00"/>
    <d v="2026-09-11T12:28:26"/>
  </r>
  <r>
    <s v="TRX0041"/>
    <x v="19"/>
    <x v="2"/>
    <s v="Kevin Scott"/>
    <s v="P001"/>
    <x v="4"/>
    <x v="0"/>
    <n v="1"/>
    <n v="899.99"/>
    <x v="1"/>
    <x v="3"/>
    <x v="1"/>
    <d v="2022-01-17T00:00:00"/>
    <n v="899.99"/>
    <n v="1385"/>
    <n v="3"/>
    <d v="2024-07-31T00:00:00"/>
    <d v="2026-09-11T12:28:26"/>
  </r>
  <r>
    <s v="TRX0232"/>
    <x v="20"/>
    <x v="18"/>
    <s v="Patricia Moore"/>
    <s v="P007"/>
    <x v="6"/>
    <x v="2"/>
    <n v="3"/>
    <n v="299.99"/>
    <x v="1"/>
    <x v="4"/>
    <x v="0"/>
    <d v="2022-09-20T00:00:00"/>
    <n v="899.97"/>
    <n v="1735"/>
    <n v="4"/>
    <d v="2024-07-31T00:00:00"/>
    <d v="2026-09-11T12:28:26"/>
  </r>
  <r>
    <s v="TRX0021"/>
    <x v="21"/>
    <x v="24"/>
    <s v="Lisa Anderson"/>
    <s v="P004"/>
    <x v="7"/>
    <x v="1"/>
    <n v="3"/>
    <n v="79.989999999999995"/>
    <x v="0"/>
    <x v="1"/>
    <x v="0"/>
    <d v="2023-04-30T00:00:00"/>
    <n v="239.97"/>
    <n v="1146"/>
    <n v="3"/>
    <d v="2024-07-31T00:00:00"/>
    <d v="2026-09-11T12:28:26"/>
  </r>
  <r>
    <s v="TRX0245"/>
    <x v="22"/>
    <x v="26"/>
    <s v="Steven Turner"/>
    <s v="P006"/>
    <x v="9"/>
    <x v="2"/>
    <n v="3"/>
    <n v="199.99"/>
    <x v="1"/>
    <x v="2"/>
    <x v="1"/>
    <d v="2024-01-01T00:00:00"/>
    <n v="599.97"/>
    <n v="1077"/>
    <n v="2"/>
    <d v="2024-07-31T00:00:00"/>
    <d v="2026-09-11T12:28:26"/>
  </r>
  <r>
    <s v="TRX0015"/>
    <x v="23"/>
    <x v="27"/>
    <s v="Jennifer Taylor"/>
    <s v="P002"/>
    <x v="5"/>
    <x v="0"/>
    <n v="5"/>
    <n v="699.99"/>
    <x v="2"/>
    <x v="3"/>
    <x v="2"/>
    <d v="2021-07-30T00:00:00"/>
    <n v="3499.95"/>
    <n v="1022"/>
    <n v="2"/>
    <d v="2024-07-31T00:00:00"/>
    <d v="2026-09-11T12:28:26"/>
  </r>
  <r>
    <s v="TRX0202"/>
    <x v="24"/>
    <x v="28"/>
    <s v="Harry Morgan"/>
    <s v="P010"/>
    <x v="8"/>
    <x v="0"/>
    <n v="3"/>
    <n v="89.99"/>
    <x v="2"/>
    <x v="0"/>
    <x v="1"/>
    <d v="2023-07-13T00:00:00"/>
    <n v="269.97000000000003"/>
    <n v="1097"/>
    <n v="3"/>
    <d v="2024-07-31T00:00:00"/>
    <d v="2026-09-11T12:28:26"/>
  </r>
  <r>
    <s v="TRX0042"/>
    <x v="25"/>
    <x v="29"/>
    <s v="Daniel King"/>
    <s v="P004"/>
    <x v="7"/>
    <x v="1"/>
    <n v="1"/>
    <n v="79.989999999999995"/>
    <x v="0"/>
    <x v="2"/>
    <x v="2"/>
    <d v="2022-12-22T00:00:00"/>
    <n v="79.989999999999995"/>
    <n v="1377"/>
    <n v="3"/>
    <d v="2024-07-31T00:00:00"/>
    <d v="2026-09-11T12:28:26"/>
  </r>
  <r>
    <s v="TRX0128"/>
    <x v="26"/>
    <x v="30"/>
    <s v="Sharon Butler"/>
    <s v="P005"/>
    <x v="1"/>
    <x v="1"/>
    <n v="2"/>
    <n v="59.99"/>
    <x v="0"/>
    <x v="3"/>
    <x v="0"/>
    <d v="2024-04-08T00:00:00"/>
    <n v="119.98"/>
    <n v="1124"/>
    <n v="3"/>
    <d v="2024-07-31T00:00:00"/>
    <d v="2026-09-11T12:28:26"/>
  </r>
  <r>
    <s v="TRX0117"/>
    <x v="26"/>
    <x v="6"/>
    <s v="Charles Allen"/>
    <s v="P010"/>
    <x v="8"/>
    <x v="0"/>
    <n v="1"/>
    <n v="89.99"/>
    <x v="0"/>
    <x v="2"/>
    <x v="0"/>
    <d v="2023-08-03T00:00:00"/>
    <n v="89.99"/>
    <n v="1149"/>
    <n v="3"/>
    <d v="2024-07-31T00:00:00"/>
    <d v="2026-09-11T12:28:26"/>
  </r>
  <r>
    <s v="TRX0208"/>
    <x v="27"/>
    <x v="31"/>
    <s v="Sarah Davis"/>
    <s v="P010"/>
    <x v="8"/>
    <x v="0"/>
    <n v="5"/>
    <n v="89.99"/>
    <x v="1"/>
    <x v="4"/>
    <x v="2"/>
    <d v="2022-01-26T00:00:00"/>
    <n v="449.95"/>
    <n v="1112"/>
    <n v="3"/>
    <d v="2024-07-31T00:00:00"/>
    <d v="2026-09-11T12:28:26"/>
  </r>
  <r>
    <s v="TRX0234"/>
    <x v="28"/>
    <x v="1"/>
    <s v="Joseph Jackson"/>
    <s v="P009"/>
    <x v="0"/>
    <x v="0"/>
    <n v="5"/>
    <n v="249.99"/>
    <x v="1"/>
    <x v="4"/>
    <x v="2"/>
    <d v="2022-05-26T00:00:00"/>
    <n v="1249.95"/>
    <n v="1294"/>
    <n v="3"/>
    <d v="2024-07-31T00:00:00"/>
    <d v="2026-09-11T12:28:26"/>
  </r>
  <r>
    <s v="TRX0121"/>
    <x v="28"/>
    <x v="32"/>
    <s v="Betty Campbell"/>
    <s v="P010"/>
    <x v="8"/>
    <x v="0"/>
    <n v="1"/>
    <n v="89.99"/>
    <x v="1"/>
    <x v="1"/>
    <x v="2"/>
    <d v="2022-01-21T00:00:00"/>
    <n v="89.99"/>
    <n v="1300"/>
    <n v="3"/>
    <d v="2024-07-31T00:00:00"/>
    <d v="2026-09-11T12:28:26"/>
  </r>
  <r>
    <s v="TRX0220"/>
    <x v="29"/>
    <x v="4"/>
    <s v="Michael Brown"/>
    <s v="P008"/>
    <x v="2"/>
    <x v="2"/>
    <n v="2"/>
    <n v="149.99"/>
    <x v="0"/>
    <x v="4"/>
    <x v="1"/>
    <d v="2022-03-25T00:00:00"/>
    <n v="299.98"/>
    <n v="1544"/>
    <n v="4"/>
    <d v="2024-07-31T00:00:00"/>
    <d v="2026-09-11T12:28:26"/>
  </r>
  <r>
    <s v="TRX0093"/>
    <x v="30"/>
    <x v="33"/>
    <s v="Julie Foster"/>
    <s v="P005"/>
    <x v="1"/>
    <x v="1"/>
    <n v="4"/>
    <n v="59.99"/>
    <x v="0"/>
    <x v="4"/>
    <x v="2"/>
    <d v="2021-08-27T00:00:00"/>
    <n v="239.96"/>
    <n v="1277"/>
    <n v="3"/>
    <d v="2024-07-31T00:00:00"/>
    <d v="2026-09-11T12:28:26"/>
  </r>
  <r>
    <s v="TRX0088"/>
    <x v="31"/>
    <x v="24"/>
    <s v="Lisa Anderson"/>
    <s v="P010"/>
    <x v="8"/>
    <x v="0"/>
    <n v="5"/>
    <n v="89.99"/>
    <x v="0"/>
    <x v="0"/>
    <x v="1"/>
    <d v="2022-01-18T00:00:00"/>
    <n v="449.95"/>
    <n v="1753"/>
    <n v="4"/>
    <d v="2024-07-31T00:00:00"/>
    <d v="2026-09-11T12:28:26"/>
  </r>
  <r>
    <s v="TRX0115"/>
    <x v="32"/>
    <x v="18"/>
    <s v="Patricia Moore"/>
    <s v="P010"/>
    <x v="8"/>
    <x v="0"/>
    <n v="2"/>
    <n v="89.99"/>
    <x v="1"/>
    <x v="1"/>
    <x v="1"/>
    <d v="2021-10-02T00:00:00"/>
    <n v="179.98"/>
    <n v="1734"/>
    <n v="4"/>
    <d v="2024-08-31T00:00:00"/>
    <d v="2026-09-11T12:28:26"/>
  </r>
  <r>
    <s v="TRX0154"/>
    <x v="32"/>
    <x v="0"/>
    <s v="Paul Baker"/>
    <s v="P001"/>
    <x v="4"/>
    <x v="0"/>
    <n v="5"/>
    <n v="899.99"/>
    <x v="1"/>
    <x v="1"/>
    <x v="2"/>
    <d v="2023-02-17T00:00:00"/>
    <n v="4499.95"/>
    <n v="1609"/>
    <n v="4"/>
    <d v="2024-08-31T00:00:00"/>
    <d v="2026-09-11T12:28:26"/>
  </r>
  <r>
    <s v="TRX0044"/>
    <x v="32"/>
    <x v="23"/>
    <s v="Edward Mitchell"/>
    <s v="P001"/>
    <x v="4"/>
    <x v="0"/>
    <n v="5"/>
    <n v="899.99"/>
    <x v="2"/>
    <x v="4"/>
    <x v="1"/>
    <d v="2023-12-18T00:00:00"/>
    <n v="4499.95"/>
    <n v="883"/>
    <n v="2"/>
    <d v="2024-08-31T00:00:00"/>
    <d v="2026-09-11T12:28:26"/>
  </r>
  <r>
    <s v="TRX0061"/>
    <x v="33"/>
    <x v="32"/>
    <s v="Betty Campbell"/>
    <s v="P005"/>
    <x v="1"/>
    <x v="1"/>
    <n v="1"/>
    <n v="59.99"/>
    <x v="3"/>
    <x v="3"/>
    <x v="1"/>
    <d v="2023-09-21T00:00:00"/>
    <n v="59.99"/>
    <n v="1311"/>
    <n v="3"/>
    <d v="2024-08-31T00:00:00"/>
    <d v="2026-09-11T12:28:26"/>
  </r>
  <r>
    <s v="TRX0150"/>
    <x v="33"/>
    <x v="27"/>
    <s v="Jennifer Taylor"/>
    <s v="P007"/>
    <x v="6"/>
    <x v="2"/>
    <n v="2"/>
    <n v="299.99"/>
    <x v="3"/>
    <x v="4"/>
    <x v="2"/>
    <d v="2023-11-23T00:00:00"/>
    <n v="599.98"/>
    <n v="1456"/>
    <n v="3"/>
    <d v="2024-08-31T00:00:00"/>
    <d v="2026-09-11T12:28:26"/>
  </r>
  <r>
    <s v="TRX0025"/>
    <x v="34"/>
    <x v="34"/>
    <s v="Raymond Ross"/>
    <s v="P010"/>
    <x v="8"/>
    <x v="0"/>
    <n v="4"/>
    <n v="89.99"/>
    <x v="3"/>
    <x v="1"/>
    <x v="0"/>
    <d v="2023-12-21T00:00:00"/>
    <n v="359.96"/>
    <n v="1494"/>
    <n v="4"/>
    <d v="2024-08-31T00:00:00"/>
    <d v="2026-09-11T12:28:26"/>
  </r>
  <r>
    <s v="TRX0078"/>
    <x v="35"/>
    <x v="2"/>
    <s v="Kevin Scott"/>
    <s v="P004"/>
    <x v="7"/>
    <x v="1"/>
    <n v="1"/>
    <n v="79.989999999999995"/>
    <x v="2"/>
    <x v="0"/>
    <x v="1"/>
    <d v="2024-03-01T00:00:00"/>
    <n v="79.989999999999995"/>
    <n v="1811"/>
    <n v="4"/>
    <d v="2024-08-31T00:00:00"/>
    <d v="2026-09-11T12:28:26"/>
  </r>
  <r>
    <s v="TRX0007"/>
    <x v="35"/>
    <x v="7"/>
    <s v="Robert Thomas"/>
    <s v="P010"/>
    <x v="8"/>
    <x v="0"/>
    <n v="2"/>
    <n v="89.99"/>
    <x v="0"/>
    <x v="3"/>
    <x v="0"/>
    <d v="2021-08-30T00:00:00"/>
    <n v="179.98"/>
    <n v="1818"/>
    <n v="4"/>
    <d v="2024-08-31T00:00:00"/>
    <d v="2026-09-11T12:28:26"/>
  </r>
  <r>
    <s v="TRX0184"/>
    <x v="36"/>
    <x v="3"/>
    <s v="Kathleen Bennett"/>
    <s v="P002"/>
    <x v="5"/>
    <x v="0"/>
    <n v="3"/>
    <n v="699.99"/>
    <x v="1"/>
    <x v="4"/>
    <x v="1"/>
    <d v="2023-06-25T00:00:00"/>
    <n v="2099.9699999999998"/>
    <n v="1285"/>
    <n v="3"/>
    <d v="2024-08-31T00:00:00"/>
    <d v="2026-09-11T12:28:26"/>
  </r>
  <r>
    <s v="TRX0104"/>
    <x v="36"/>
    <x v="18"/>
    <s v="Patricia Moore"/>
    <s v="P001"/>
    <x v="4"/>
    <x v="0"/>
    <n v="4"/>
    <n v="899.99"/>
    <x v="1"/>
    <x v="4"/>
    <x v="1"/>
    <d v="2023-03-08T00:00:00"/>
    <n v="3599.96"/>
    <n v="1304"/>
    <n v="3"/>
    <d v="2024-08-31T00:00:00"/>
    <d v="2026-09-11T12:28:26"/>
  </r>
  <r>
    <s v="TRX0127"/>
    <x v="37"/>
    <x v="22"/>
    <s v="Helen Roberts"/>
    <s v="P008"/>
    <x v="2"/>
    <x v="2"/>
    <n v="1"/>
    <n v="149.99"/>
    <x v="2"/>
    <x v="4"/>
    <x v="0"/>
    <d v="2022-10-17T00:00:00"/>
    <n v="149.99"/>
    <n v="1750"/>
    <n v="4"/>
    <d v="2024-08-31T00:00:00"/>
    <d v="2026-09-11T12:28:26"/>
  </r>
  <r>
    <s v="TRX0096"/>
    <x v="38"/>
    <x v="25"/>
    <s v="Emma Wilson"/>
    <s v="P010"/>
    <x v="8"/>
    <x v="0"/>
    <n v="2"/>
    <n v="89.99"/>
    <x v="2"/>
    <x v="0"/>
    <x v="1"/>
    <d v="2023-12-15T00:00:00"/>
    <n v="179.98"/>
    <n v="1702"/>
    <n v="4"/>
    <d v="2024-08-31T00:00:00"/>
    <d v="2026-09-11T12:28:26"/>
  </r>
  <r>
    <s v="TRX0192"/>
    <x v="39"/>
    <x v="6"/>
    <s v="Charles Allen"/>
    <s v="P010"/>
    <x v="8"/>
    <x v="0"/>
    <n v="1"/>
    <n v="89.99"/>
    <x v="2"/>
    <x v="3"/>
    <x v="2"/>
    <d v="2022-08-29T00:00:00"/>
    <n v="89.99"/>
    <n v="966"/>
    <n v="2"/>
    <d v="2024-08-31T00:00:00"/>
    <d v="2026-09-11T12:28:26"/>
  </r>
  <r>
    <s v="TRX0052"/>
    <x v="40"/>
    <x v="9"/>
    <s v="Susan Green"/>
    <s v="P010"/>
    <x v="8"/>
    <x v="0"/>
    <n v="1"/>
    <n v="89.99"/>
    <x v="0"/>
    <x v="1"/>
    <x v="2"/>
    <d v="2022-02-19T00:00:00"/>
    <n v="89.99"/>
    <n v="1497"/>
    <n v="4"/>
    <d v="2024-08-31T00:00:00"/>
    <d v="2026-09-11T12:28:26"/>
  </r>
  <r>
    <s v="TRX0070"/>
    <x v="40"/>
    <x v="35"/>
    <s v="David Martinez"/>
    <s v="P004"/>
    <x v="7"/>
    <x v="1"/>
    <n v="5"/>
    <n v="79.989999999999995"/>
    <x v="3"/>
    <x v="0"/>
    <x v="0"/>
    <d v="2023-02-24T00:00:00"/>
    <n v="399.95"/>
    <n v="1704"/>
    <n v="4"/>
    <d v="2024-08-31T00:00:00"/>
    <d v="2026-09-11T12:28:26"/>
  </r>
  <r>
    <s v="TRX0086"/>
    <x v="41"/>
    <x v="36"/>
    <s v="Margaret Wright"/>
    <s v="P008"/>
    <x v="2"/>
    <x v="2"/>
    <n v="1"/>
    <n v="149.99"/>
    <x v="2"/>
    <x v="2"/>
    <x v="0"/>
    <d v="2021-08-13T00:00:00"/>
    <n v="149.99"/>
    <n v="1779"/>
    <n v="4"/>
    <d v="2024-08-31T00:00:00"/>
    <d v="2026-09-11T12:28:26"/>
  </r>
  <r>
    <s v="TRX0113"/>
    <x v="41"/>
    <x v="4"/>
    <s v="Michael Brown"/>
    <s v="P002"/>
    <x v="5"/>
    <x v="0"/>
    <n v="2"/>
    <n v="699.99"/>
    <x v="2"/>
    <x v="4"/>
    <x v="1"/>
    <d v="2024-04-07T00:00:00"/>
    <n v="1399.98"/>
    <n v="1064"/>
    <n v="2"/>
    <d v="2024-08-31T00:00:00"/>
    <d v="2026-09-11T12:28:26"/>
  </r>
  <r>
    <s v="TRX0114"/>
    <x v="41"/>
    <x v="17"/>
    <s v="Barbara Young"/>
    <s v="P010"/>
    <x v="8"/>
    <x v="0"/>
    <n v="5"/>
    <n v="89.99"/>
    <x v="3"/>
    <x v="2"/>
    <x v="1"/>
    <d v="2023-08-23T00:00:00"/>
    <n v="449.95"/>
    <n v="1855"/>
    <n v="5"/>
    <d v="2024-08-31T00:00:00"/>
    <d v="2026-09-11T12:28:26"/>
  </r>
  <r>
    <s v="TRX0136"/>
    <x v="42"/>
    <x v="34"/>
    <s v="Raymond Ross"/>
    <s v="P005"/>
    <x v="1"/>
    <x v="1"/>
    <n v="4"/>
    <n v="59.99"/>
    <x v="0"/>
    <x v="1"/>
    <x v="2"/>
    <d v="2021-11-09T00:00:00"/>
    <n v="239.96"/>
    <n v="1591"/>
    <n v="4"/>
    <d v="2024-09-30T00:00:00"/>
    <d v="2026-09-11T12:28:26"/>
  </r>
  <r>
    <s v="TRX0018"/>
    <x v="43"/>
    <x v="1"/>
    <s v="Joseph Jackson"/>
    <s v="P003"/>
    <x v="3"/>
    <x v="0"/>
    <n v="1"/>
    <n v="149.99"/>
    <x v="0"/>
    <x v="0"/>
    <x v="2"/>
    <d v="2022-12-14T00:00:00"/>
    <n v="149.99"/>
    <n v="944"/>
    <n v="2"/>
    <d v="2024-09-30T00:00:00"/>
    <d v="2026-09-11T12:28:26"/>
  </r>
  <r>
    <s v="TRX0141"/>
    <x v="43"/>
    <x v="37"/>
    <s v="Frank Torres"/>
    <s v="P007"/>
    <x v="6"/>
    <x v="2"/>
    <n v="1"/>
    <n v="299.99"/>
    <x v="1"/>
    <x v="2"/>
    <x v="1"/>
    <d v="2022-11-26T00:00:00"/>
    <n v="299.99"/>
    <n v="1406"/>
    <n v="3"/>
    <d v="2024-09-30T00:00:00"/>
    <d v="2026-09-11T12:28:26"/>
  </r>
  <r>
    <s v="TRX0097"/>
    <x v="44"/>
    <x v="37"/>
    <s v="Frank Torres"/>
    <s v="P006"/>
    <x v="9"/>
    <x v="2"/>
    <n v="2"/>
    <n v="199.99"/>
    <x v="0"/>
    <x v="2"/>
    <x v="0"/>
    <d v="2021-12-11T00:00:00"/>
    <n v="399.98"/>
    <n v="1559"/>
    <n v="4"/>
    <d v="2024-09-30T00:00:00"/>
    <d v="2026-09-11T12:28:26"/>
  </r>
  <r>
    <s v="TRX0169"/>
    <x v="45"/>
    <x v="38"/>
    <s v="Gerald Murphy"/>
    <s v="P005"/>
    <x v="1"/>
    <x v="1"/>
    <n v="3"/>
    <n v="59.99"/>
    <x v="1"/>
    <x v="3"/>
    <x v="0"/>
    <d v="2023-07-23T00:00:00"/>
    <n v="179.97"/>
    <n v="1528"/>
    <n v="4"/>
    <d v="2024-09-30T00:00:00"/>
    <d v="2026-09-11T12:28:26"/>
  </r>
  <r>
    <s v="TRX0216"/>
    <x v="45"/>
    <x v="10"/>
    <s v="Peter Richardson"/>
    <s v="P008"/>
    <x v="2"/>
    <x v="2"/>
    <n v="3"/>
    <n v="149.99"/>
    <x v="0"/>
    <x v="0"/>
    <x v="1"/>
    <d v="2023-09-30T00:00:00"/>
    <n v="449.97"/>
    <n v="1746"/>
    <n v="4"/>
    <d v="2024-09-30T00:00:00"/>
    <d v="2026-09-11T12:28:26"/>
  </r>
  <r>
    <s v="TRX0131"/>
    <x v="46"/>
    <x v="8"/>
    <s v="Karen Hill"/>
    <s v="P006"/>
    <x v="9"/>
    <x v="2"/>
    <n v="3"/>
    <n v="199.99"/>
    <x v="0"/>
    <x v="2"/>
    <x v="1"/>
    <d v="2023-11-24T00:00:00"/>
    <n v="599.97"/>
    <n v="1583"/>
    <n v="4"/>
    <d v="2024-09-30T00:00:00"/>
    <d v="2026-09-11T12:28:26"/>
  </r>
  <r>
    <s v="TRX0162"/>
    <x v="47"/>
    <x v="30"/>
    <s v="Sharon Butler"/>
    <s v="P001"/>
    <x v="4"/>
    <x v="0"/>
    <n v="1"/>
    <n v="899.99"/>
    <x v="0"/>
    <x v="0"/>
    <x v="2"/>
    <d v="2023-09-10T00:00:00"/>
    <n v="899.99"/>
    <n v="1782"/>
    <n v="4"/>
    <d v="2024-09-30T00:00:00"/>
    <d v="2026-09-11T12:28:26"/>
  </r>
  <r>
    <s v="TRX0244"/>
    <x v="48"/>
    <x v="1"/>
    <s v="Joseph Jackson"/>
    <s v="P001"/>
    <x v="4"/>
    <x v="0"/>
    <n v="5"/>
    <n v="899.99"/>
    <x v="3"/>
    <x v="1"/>
    <x v="2"/>
    <d v="2022-12-04T00:00:00"/>
    <n v="4499.95"/>
    <n v="1635"/>
    <n v="4"/>
    <d v="2024-09-30T00:00:00"/>
    <d v="2026-09-11T12:28:26"/>
  </r>
  <r>
    <s v="TRX0006"/>
    <x v="49"/>
    <x v="35"/>
    <s v="David Martinez"/>
    <s v="P005"/>
    <x v="1"/>
    <x v="1"/>
    <n v="2"/>
    <n v="59.99"/>
    <x v="0"/>
    <x v="2"/>
    <x v="2"/>
    <d v="2023-08-14T00:00:00"/>
    <n v="119.98"/>
    <n v="1367"/>
    <n v="3"/>
    <d v="2024-09-30T00:00:00"/>
    <d v="2026-09-11T12:28:26"/>
  </r>
  <r>
    <s v="TRX0215"/>
    <x v="49"/>
    <x v="38"/>
    <s v="Gerald Murphy"/>
    <s v="P009"/>
    <x v="0"/>
    <x v="0"/>
    <n v="4"/>
    <n v="249.99"/>
    <x v="3"/>
    <x v="0"/>
    <x v="2"/>
    <d v="2023-07-20T00:00:00"/>
    <n v="999.96"/>
    <n v="1283"/>
    <n v="3"/>
    <d v="2024-09-30T00:00:00"/>
    <d v="2026-09-11T12:28:26"/>
  </r>
  <r>
    <s v="TRX0080"/>
    <x v="50"/>
    <x v="17"/>
    <s v="Barbara Young"/>
    <s v="P009"/>
    <x v="0"/>
    <x v="0"/>
    <n v="2"/>
    <n v="249.99"/>
    <x v="0"/>
    <x v="2"/>
    <x v="1"/>
    <d v="2023-08-26T00:00:00"/>
    <n v="499.98"/>
    <n v="1818"/>
    <n v="4"/>
    <d v="2024-09-30T00:00:00"/>
    <d v="2026-09-11T12:28:26"/>
  </r>
  <r>
    <s v="TRX0228"/>
    <x v="50"/>
    <x v="29"/>
    <s v="Daniel King"/>
    <s v="P007"/>
    <x v="6"/>
    <x v="2"/>
    <n v="1"/>
    <n v="299.99"/>
    <x v="0"/>
    <x v="1"/>
    <x v="0"/>
    <d v="2023-02-25T00:00:00"/>
    <n v="299.99"/>
    <n v="1830"/>
    <n v="5"/>
    <d v="2024-09-30T00:00:00"/>
    <d v="2026-09-11T12:28:26"/>
  </r>
  <r>
    <s v="TRX0157"/>
    <x v="51"/>
    <x v="14"/>
    <s v="Mark Carter"/>
    <s v="P010"/>
    <x v="8"/>
    <x v="0"/>
    <n v="2"/>
    <n v="89.99"/>
    <x v="2"/>
    <x v="1"/>
    <x v="0"/>
    <d v="2023-02-19T00:00:00"/>
    <n v="179.98"/>
    <n v="1794"/>
    <n v="4"/>
    <d v="2024-09-30T00:00:00"/>
    <d v="2026-09-11T12:28:26"/>
  </r>
  <r>
    <s v="TRX0002"/>
    <x v="51"/>
    <x v="29"/>
    <s v="Daniel King"/>
    <s v="P007"/>
    <x v="6"/>
    <x v="2"/>
    <n v="3"/>
    <n v="299.99"/>
    <x v="0"/>
    <x v="0"/>
    <x v="0"/>
    <d v="2022-06-20T00:00:00"/>
    <n v="899.97"/>
    <n v="1658"/>
    <n v="4"/>
    <d v="2024-09-30T00:00:00"/>
    <d v="2026-09-11T12:28:26"/>
  </r>
  <r>
    <s v="TRX0217"/>
    <x v="52"/>
    <x v="14"/>
    <s v="Mark Carter"/>
    <s v="P002"/>
    <x v="5"/>
    <x v="0"/>
    <n v="2"/>
    <n v="699.99"/>
    <x v="1"/>
    <x v="2"/>
    <x v="1"/>
    <d v="2023-03-14T00:00:00"/>
    <n v="1399.98"/>
    <n v="1119"/>
    <n v="3"/>
    <d v="2024-09-30T00:00:00"/>
    <d v="2026-09-11T12:28:26"/>
  </r>
  <r>
    <s v="TRX0249"/>
    <x v="53"/>
    <x v="22"/>
    <s v="Helen Roberts"/>
    <s v="P001"/>
    <x v="4"/>
    <x v="0"/>
    <n v="4"/>
    <n v="899.99"/>
    <x v="3"/>
    <x v="1"/>
    <x v="2"/>
    <d v="2021-11-23T00:00:00"/>
    <n v="3599.96"/>
    <n v="1390"/>
    <n v="3"/>
    <d v="2024-09-30T00:00:00"/>
    <d v="2026-09-11T12:28:26"/>
  </r>
  <r>
    <s v="TRX0065"/>
    <x v="54"/>
    <x v="39"/>
    <s v="Elizabeth Hall"/>
    <s v="P008"/>
    <x v="2"/>
    <x v="2"/>
    <n v="2"/>
    <n v="149.99"/>
    <x v="1"/>
    <x v="3"/>
    <x v="0"/>
    <d v="2021-12-12T00:00:00"/>
    <n v="299.98"/>
    <n v="1707"/>
    <n v="4"/>
    <d v="2024-09-30T00:00:00"/>
    <d v="2026-09-11T12:28:26"/>
  </r>
  <r>
    <s v="TRX0176"/>
    <x v="55"/>
    <x v="19"/>
    <s v="Cynthia Price"/>
    <s v="P008"/>
    <x v="2"/>
    <x v="2"/>
    <n v="2"/>
    <n v="149.99"/>
    <x v="3"/>
    <x v="4"/>
    <x v="2"/>
    <d v="2022-04-16T00:00:00"/>
    <n v="299.98"/>
    <n v="1323"/>
    <n v="3"/>
    <d v="2024-09-30T00:00:00"/>
    <d v="2026-09-11T12:28:26"/>
  </r>
  <r>
    <s v="TRX0101"/>
    <x v="56"/>
    <x v="15"/>
    <s v="Maria Garcia"/>
    <s v="P010"/>
    <x v="8"/>
    <x v="0"/>
    <n v="1"/>
    <n v="89.99"/>
    <x v="1"/>
    <x v="2"/>
    <x v="2"/>
    <d v="2024-04-11T00:00:00"/>
    <n v="89.99"/>
    <n v="1816"/>
    <n v="4"/>
    <d v="2024-10-31T00:00:00"/>
    <d v="2026-09-11T12:28:26"/>
  </r>
  <r>
    <s v="TRX0205"/>
    <x v="57"/>
    <x v="14"/>
    <s v="Mark Carter"/>
    <s v="P007"/>
    <x v="6"/>
    <x v="2"/>
    <n v="5"/>
    <n v="299.99"/>
    <x v="1"/>
    <x v="2"/>
    <x v="0"/>
    <d v="2023-02-08T00:00:00"/>
    <n v="1499.95"/>
    <n v="1697"/>
    <n v="4"/>
    <d v="2024-10-31T00:00:00"/>
    <d v="2026-09-11T12:28:26"/>
  </r>
  <r>
    <s v="TRX0020"/>
    <x v="58"/>
    <x v="35"/>
    <s v="David Martinez"/>
    <s v="P003"/>
    <x v="3"/>
    <x v="0"/>
    <n v="4"/>
    <n v="149.99"/>
    <x v="3"/>
    <x v="1"/>
    <x v="1"/>
    <d v="2022-09-16T00:00:00"/>
    <n v="599.96"/>
    <n v="1200"/>
    <n v="3"/>
    <d v="2024-10-31T00:00:00"/>
    <d v="2026-09-11T12:28:26"/>
  </r>
  <r>
    <s v="TRX0075"/>
    <x v="58"/>
    <x v="36"/>
    <s v="Margaret Wright"/>
    <s v="P009"/>
    <x v="0"/>
    <x v="0"/>
    <n v="5"/>
    <n v="249.99"/>
    <x v="2"/>
    <x v="4"/>
    <x v="1"/>
    <d v="2022-08-09T00:00:00"/>
    <n v="1249.95"/>
    <n v="1002"/>
    <n v="2"/>
    <d v="2024-10-31T00:00:00"/>
    <d v="2026-09-11T12:28:26"/>
  </r>
  <r>
    <s v="TRX0098"/>
    <x v="58"/>
    <x v="8"/>
    <s v="Karen Hill"/>
    <s v="P009"/>
    <x v="0"/>
    <x v="0"/>
    <n v="3"/>
    <n v="249.99"/>
    <x v="2"/>
    <x v="2"/>
    <x v="1"/>
    <d v="2021-09-26T00:00:00"/>
    <n v="749.97"/>
    <n v="1336"/>
    <n v="3"/>
    <d v="2024-10-31T00:00:00"/>
    <d v="2026-09-11T12:28:26"/>
  </r>
  <r>
    <s v="TRX0247"/>
    <x v="58"/>
    <x v="3"/>
    <s v="Kathleen Bennett"/>
    <s v="P006"/>
    <x v="9"/>
    <x v="2"/>
    <n v="4"/>
    <n v="199.99"/>
    <x v="0"/>
    <x v="2"/>
    <x v="2"/>
    <d v="2021-09-19T00:00:00"/>
    <n v="799.96"/>
    <n v="1102"/>
    <n v="3"/>
    <d v="2024-10-31T00:00:00"/>
    <d v="2026-09-11T12:28:26"/>
  </r>
  <r>
    <s v="TRX0027"/>
    <x v="59"/>
    <x v="32"/>
    <s v="Betty Campbell"/>
    <s v="P006"/>
    <x v="9"/>
    <x v="2"/>
    <n v="5"/>
    <n v="199.99"/>
    <x v="0"/>
    <x v="2"/>
    <x v="1"/>
    <d v="2023-03-06T00:00:00"/>
    <n v="999.95"/>
    <n v="1061"/>
    <n v="2"/>
    <d v="2024-10-31T00:00:00"/>
    <d v="2026-09-11T12:28:26"/>
  </r>
  <r>
    <s v="TRX0140"/>
    <x v="60"/>
    <x v="14"/>
    <s v="Mark Carter"/>
    <s v="P010"/>
    <x v="8"/>
    <x v="0"/>
    <n v="2"/>
    <n v="89.99"/>
    <x v="0"/>
    <x v="4"/>
    <x v="1"/>
    <d v="2023-02-15T00:00:00"/>
    <n v="179.98"/>
    <n v="1268"/>
    <n v="3"/>
    <d v="2024-10-31T00:00:00"/>
    <d v="2026-09-11T12:28:26"/>
  </r>
  <r>
    <s v="TRX0132"/>
    <x v="61"/>
    <x v="38"/>
    <s v="Gerald Murphy"/>
    <s v="P001"/>
    <x v="4"/>
    <x v="0"/>
    <n v="5"/>
    <n v="899.99"/>
    <x v="3"/>
    <x v="4"/>
    <x v="0"/>
    <d v="2021-11-26T00:00:00"/>
    <n v="4499.95"/>
    <n v="891"/>
    <n v="2"/>
    <d v="2024-10-31T00:00:00"/>
    <d v="2026-09-11T12:28:26"/>
  </r>
  <r>
    <s v="TRX0031"/>
    <x v="61"/>
    <x v="20"/>
    <s v="Nancy Collins"/>
    <s v="P003"/>
    <x v="3"/>
    <x v="0"/>
    <n v="3"/>
    <n v="149.99"/>
    <x v="2"/>
    <x v="4"/>
    <x v="0"/>
    <d v="2022-01-13T00:00:00"/>
    <n v="449.97"/>
    <n v="907"/>
    <n v="2"/>
    <d v="2024-10-31T00:00:00"/>
    <d v="2026-09-11T12:28:26"/>
  </r>
  <r>
    <s v="TRX0236"/>
    <x v="62"/>
    <x v="19"/>
    <s v="Cynthia Price"/>
    <s v="P008"/>
    <x v="2"/>
    <x v="2"/>
    <n v="5"/>
    <n v="149.99"/>
    <x v="1"/>
    <x v="0"/>
    <x v="0"/>
    <d v="2024-01-19T00:00:00"/>
    <n v="749.95"/>
    <n v="1360"/>
    <n v="3"/>
    <d v="2024-10-31T00:00:00"/>
    <d v="2026-09-11T12:28:26"/>
  </r>
  <r>
    <s v="TRX0001"/>
    <x v="63"/>
    <x v="40"/>
    <s v="Lawrence Reed"/>
    <s v="P004"/>
    <x v="7"/>
    <x v="1"/>
    <n v="3"/>
    <n v="79.989999999999995"/>
    <x v="0"/>
    <x v="0"/>
    <x v="1"/>
    <d v="2022-08-06T00:00:00"/>
    <n v="239.97"/>
    <n v="1725"/>
    <n v="4"/>
    <d v="2024-10-31T00:00:00"/>
    <d v="2026-09-11T12:28:26"/>
  </r>
  <r>
    <s v="TRX0037"/>
    <x v="63"/>
    <x v="28"/>
    <s v="Harry Morgan"/>
    <s v="P009"/>
    <x v="0"/>
    <x v="0"/>
    <n v="2"/>
    <n v="249.99"/>
    <x v="0"/>
    <x v="1"/>
    <x v="2"/>
    <d v="2022-01-11T00:00:00"/>
    <n v="499.98"/>
    <n v="1803"/>
    <n v="4"/>
    <d v="2024-10-31T00:00:00"/>
    <d v="2026-09-11T12:28:26"/>
  </r>
  <r>
    <s v="TRX0058"/>
    <x v="64"/>
    <x v="38"/>
    <s v="Gerald Murphy"/>
    <s v="P002"/>
    <x v="5"/>
    <x v="0"/>
    <n v="1"/>
    <n v="699.99"/>
    <x v="0"/>
    <x v="0"/>
    <x v="1"/>
    <d v="2021-10-28T00:00:00"/>
    <n v="699.99"/>
    <n v="1284"/>
    <n v="3"/>
    <d v="2024-10-31T00:00:00"/>
    <d v="2026-09-11T12:28:26"/>
  </r>
  <r>
    <s v="TRX0170"/>
    <x v="64"/>
    <x v="41"/>
    <s v="Carol Evans"/>
    <s v="P003"/>
    <x v="3"/>
    <x v="0"/>
    <n v="3"/>
    <n v="149.99"/>
    <x v="0"/>
    <x v="3"/>
    <x v="1"/>
    <d v="2023-10-13T00:00:00"/>
    <n v="449.97"/>
    <n v="1641"/>
    <n v="4"/>
    <d v="2024-10-31T00:00:00"/>
    <d v="2026-09-11T12:28:26"/>
  </r>
  <r>
    <s v="TRX0248"/>
    <x v="65"/>
    <x v="42"/>
    <s v="Sandra Phillips"/>
    <s v="P002"/>
    <x v="5"/>
    <x v="0"/>
    <n v="2"/>
    <n v="699.99"/>
    <x v="1"/>
    <x v="2"/>
    <x v="1"/>
    <d v="2021-08-13T00:00:00"/>
    <n v="1399.98"/>
    <n v="1661"/>
    <n v="4"/>
    <d v="2024-10-31T00:00:00"/>
    <d v="2026-09-11T12:28:26"/>
  </r>
  <r>
    <s v="TRX0099"/>
    <x v="66"/>
    <x v="41"/>
    <s v="Carol Evans"/>
    <s v="P009"/>
    <x v="0"/>
    <x v="0"/>
    <n v="1"/>
    <n v="249.99"/>
    <x v="1"/>
    <x v="3"/>
    <x v="1"/>
    <d v="2022-05-04T00:00:00"/>
    <n v="249.99"/>
    <n v="1395"/>
    <n v="3"/>
    <d v="2024-11-30T00:00:00"/>
    <d v="2026-09-11T12:28:26"/>
  </r>
  <r>
    <s v="TRX0074"/>
    <x v="66"/>
    <x v="0"/>
    <s v="Paul Baker"/>
    <s v="P009"/>
    <x v="0"/>
    <x v="0"/>
    <n v="1"/>
    <n v="249.99"/>
    <x v="3"/>
    <x v="2"/>
    <x v="1"/>
    <d v="2024-02-10T00:00:00"/>
    <n v="249.99"/>
    <n v="1774"/>
    <n v="4"/>
    <d v="2024-11-30T00:00:00"/>
    <d v="2026-09-11T12:28:26"/>
  </r>
  <r>
    <s v="TRX0225"/>
    <x v="67"/>
    <x v="40"/>
    <s v="Lawrence Reed"/>
    <s v="P002"/>
    <x v="5"/>
    <x v="0"/>
    <n v="2"/>
    <n v="699.99"/>
    <x v="3"/>
    <x v="0"/>
    <x v="1"/>
    <d v="2022-11-05T00:00:00"/>
    <n v="1399.98"/>
    <n v="1856"/>
    <n v="5"/>
    <d v="2024-11-30T00:00:00"/>
    <d v="2026-09-11T12:28:26"/>
  </r>
  <r>
    <s v="TRX0100"/>
    <x v="68"/>
    <x v="26"/>
    <s v="Steven Turner"/>
    <s v="P005"/>
    <x v="1"/>
    <x v="1"/>
    <n v="3"/>
    <n v="59.99"/>
    <x v="1"/>
    <x v="0"/>
    <x v="1"/>
    <d v="2022-06-05T00:00:00"/>
    <n v="179.97"/>
    <n v="1428"/>
    <n v="3"/>
    <d v="2024-11-30T00:00:00"/>
    <d v="2026-09-11T12:28:26"/>
  </r>
  <r>
    <s v="TRX0142"/>
    <x v="69"/>
    <x v="25"/>
    <s v="Emma Wilson"/>
    <s v="P005"/>
    <x v="1"/>
    <x v="1"/>
    <n v="3"/>
    <n v="59.99"/>
    <x v="2"/>
    <x v="4"/>
    <x v="2"/>
    <d v="2022-07-06T00:00:00"/>
    <n v="179.97"/>
    <n v="1448"/>
    <n v="3"/>
    <d v="2024-11-30T00:00:00"/>
    <d v="2026-09-11T12:28:26"/>
  </r>
  <r>
    <s v="TRX0112"/>
    <x v="69"/>
    <x v="27"/>
    <s v="Jennifer Taylor"/>
    <s v="P004"/>
    <x v="7"/>
    <x v="1"/>
    <n v="4"/>
    <n v="79.989999999999995"/>
    <x v="0"/>
    <x v="2"/>
    <x v="0"/>
    <d v="2021-11-30T00:00:00"/>
    <n v="319.95999999999998"/>
    <n v="1507"/>
    <n v="4"/>
    <d v="2024-11-30T00:00:00"/>
    <d v="2026-09-11T12:28:26"/>
  </r>
  <r>
    <s v="TRX0161"/>
    <x v="70"/>
    <x v="6"/>
    <s v="Charles Allen"/>
    <s v="P004"/>
    <x v="7"/>
    <x v="1"/>
    <n v="1"/>
    <n v="79.989999999999995"/>
    <x v="0"/>
    <x v="3"/>
    <x v="0"/>
    <d v="2022-05-12T00:00:00"/>
    <n v="79.989999999999995"/>
    <n v="1582"/>
    <n v="4"/>
    <d v="2024-11-30T00:00:00"/>
    <d v="2026-09-11T12:28:26"/>
  </r>
  <r>
    <s v="TRX0108"/>
    <x v="71"/>
    <x v="5"/>
    <s v="Dorothy Nelson"/>
    <s v="P007"/>
    <x v="6"/>
    <x v="2"/>
    <n v="3"/>
    <n v="299.99"/>
    <x v="1"/>
    <x v="0"/>
    <x v="1"/>
    <d v="2021-10-25T00:00:00"/>
    <n v="899.97"/>
    <n v="1617"/>
    <n v="4"/>
    <d v="2024-11-30T00:00:00"/>
    <d v="2026-09-11T12:28:26"/>
  </r>
  <r>
    <s v="TRX0211"/>
    <x v="72"/>
    <x v="3"/>
    <s v="Kathleen Bennett"/>
    <s v="P010"/>
    <x v="8"/>
    <x v="0"/>
    <n v="2"/>
    <n v="89.99"/>
    <x v="1"/>
    <x v="1"/>
    <x v="1"/>
    <d v="2022-03-21T00:00:00"/>
    <n v="179.98"/>
    <n v="1375"/>
    <n v="3"/>
    <d v="2024-11-30T00:00:00"/>
    <d v="2026-09-11T12:28:26"/>
  </r>
  <r>
    <s v="TRX0005"/>
    <x v="73"/>
    <x v="43"/>
    <s v="Ruth Brooks"/>
    <s v="P003"/>
    <x v="3"/>
    <x v="0"/>
    <n v="4"/>
    <n v="149.99"/>
    <x v="0"/>
    <x v="2"/>
    <x v="0"/>
    <d v="2022-12-14T00:00:00"/>
    <n v="599.96"/>
    <n v="1016"/>
    <n v="2"/>
    <d v="2024-11-30T00:00:00"/>
    <d v="2026-09-11T12:28:26"/>
  </r>
  <r>
    <s v="TRX0195"/>
    <x v="74"/>
    <x v="8"/>
    <s v="Karen Hill"/>
    <s v="P009"/>
    <x v="0"/>
    <x v="0"/>
    <n v="2"/>
    <n v="249.99"/>
    <x v="2"/>
    <x v="1"/>
    <x v="0"/>
    <d v="2023-03-08T00:00:00"/>
    <n v="499.98"/>
    <n v="1407"/>
    <n v="3"/>
    <d v="2024-11-30T00:00:00"/>
    <d v="2026-09-11T12:28:26"/>
  </r>
  <r>
    <s v="TRX0054"/>
    <x v="74"/>
    <x v="31"/>
    <s v="Sarah Davis"/>
    <s v="P006"/>
    <x v="9"/>
    <x v="2"/>
    <n v="4"/>
    <n v="199.99"/>
    <x v="3"/>
    <x v="4"/>
    <x v="0"/>
    <d v="2021-09-19T00:00:00"/>
    <n v="799.96"/>
    <n v="1506"/>
    <n v="4"/>
    <d v="2024-11-30T00:00:00"/>
    <d v="2026-09-11T12:28:26"/>
  </r>
  <r>
    <s v="TRX0077"/>
    <x v="75"/>
    <x v="29"/>
    <s v="Daniel King"/>
    <s v="P010"/>
    <x v="8"/>
    <x v="0"/>
    <n v="5"/>
    <n v="89.99"/>
    <x v="1"/>
    <x v="4"/>
    <x v="1"/>
    <d v="2021-09-07T00:00:00"/>
    <n v="449.95"/>
    <n v="1849"/>
    <n v="5"/>
    <d v="2024-11-30T00:00:00"/>
    <d v="2026-09-11T12:28:26"/>
  </r>
  <r>
    <s v="TRX0111"/>
    <x v="75"/>
    <x v="44"/>
    <s v="William White"/>
    <s v="P003"/>
    <x v="3"/>
    <x v="0"/>
    <n v="1"/>
    <n v="149.99"/>
    <x v="2"/>
    <x v="4"/>
    <x v="2"/>
    <d v="2021-10-13T00:00:00"/>
    <n v="149.99"/>
    <n v="1716"/>
    <n v="4"/>
    <d v="2024-11-30T00:00:00"/>
    <d v="2026-09-11T12:28:26"/>
  </r>
  <r>
    <s v="TRX0123"/>
    <x v="75"/>
    <x v="10"/>
    <s v="Peter Richardson"/>
    <s v="P002"/>
    <x v="5"/>
    <x v="0"/>
    <n v="4"/>
    <n v="699.99"/>
    <x v="2"/>
    <x v="1"/>
    <x v="0"/>
    <d v="2022-02-26T00:00:00"/>
    <n v="2799.96"/>
    <n v="1693"/>
    <n v="4"/>
    <d v="2024-11-30T00:00:00"/>
    <d v="2026-09-11T12:28:26"/>
  </r>
  <r>
    <s v="TRX0177"/>
    <x v="76"/>
    <x v="42"/>
    <s v="Sandra Phillips"/>
    <s v="P001"/>
    <x v="4"/>
    <x v="0"/>
    <n v="3"/>
    <n v="899.99"/>
    <x v="1"/>
    <x v="2"/>
    <x v="2"/>
    <d v="2023-08-19T00:00:00"/>
    <n v="2699.97"/>
    <n v="1403"/>
    <n v="3"/>
    <d v="2024-11-30T00:00:00"/>
    <d v="2026-09-11T12:28:26"/>
  </r>
  <r>
    <s v="TRX0119"/>
    <x v="77"/>
    <x v="21"/>
    <s v="Linda Martin"/>
    <s v="P008"/>
    <x v="2"/>
    <x v="2"/>
    <n v="3"/>
    <n v="149.99"/>
    <x v="2"/>
    <x v="4"/>
    <x v="0"/>
    <d v="2022-11-21T00:00:00"/>
    <n v="449.97"/>
    <n v="1175"/>
    <n v="3"/>
    <d v="2024-11-30T00:00:00"/>
    <d v="2026-09-11T12:28:26"/>
  </r>
  <r>
    <s v="TRX0181"/>
    <x v="78"/>
    <x v="18"/>
    <s v="Patricia Moore"/>
    <s v="P007"/>
    <x v="6"/>
    <x v="2"/>
    <n v="2"/>
    <n v="299.99"/>
    <x v="3"/>
    <x v="0"/>
    <x v="0"/>
    <d v="2022-01-08T00:00:00"/>
    <n v="599.98"/>
    <n v="1617"/>
    <n v="4"/>
    <d v="2024-12-31T00:00:00"/>
    <d v="2026-09-11T12:28:26"/>
  </r>
  <r>
    <s v="TRX0129"/>
    <x v="79"/>
    <x v="45"/>
    <s v="Richard Lee"/>
    <s v="P006"/>
    <x v="9"/>
    <x v="2"/>
    <n v="1"/>
    <n v="199.99"/>
    <x v="3"/>
    <x v="4"/>
    <x v="2"/>
    <d v="2023-01-27T00:00:00"/>
    <n v="199.99"/>
    <n v="1791"/>
    <n v="4"/>
    <d v="2024-12-31T00:00:00"/>
    <d v="2026-09-11T12:28:26"/>
  </r>
  <r>
    <s v="TRX0174"/>
    <x v="80"/>
    <x v="4"/>
    <s v="Michael Brown"/>
    <s v="P007"/>
    <x v="6"/>
    <x v="2"/>
    <n v="4"/>
    <n v="299.99"/>
    <x v="0"/>
    <x v="0"/>
    <x v="1"/>
    <d v="2021-09-21T00:00:00"/>
    <n v="1199.96"/>
    <n v="1801"/>
    <n v="4"/>
    <d v="2024-12-31T00:00:00"/>
    <d v="2026-09-11T12:28:26"/>
  </r>
  <r>
    <s v="TRX0146"/>
    <x v="81"/>
    <x v="15"/>
    <s v="Maria Garcia"/>
    <s v="P005"/>
    <x v="1"/>
    <x v="1"/>
    <n v="2"/>
    <n v="59.99"/>
    <x v="1"/>
    <x v="0"/>
    <x v="0"/>
    <d v="2022-01-18T00:00:00"/>
    <n v="119.98"/>
    <n v="1332"/>
    <n v="3"/>
    <d v="2024-12-31T00:00:00"/>
    <d v="2026-09-11T12:28:26"/>
  </r>
  <r>
    <s v="TRX0203"/>
    <x v="81"/>
    <x v="42"/>
    <s v="Sandra Phillips"/>
    <s v="P003"/>
    <x v="3"/>
    <x v="0"/>
    <n v="4"/>
    <n v="149.99"/>
    <x v="1"/>
    <x v="2"/>
    <x v="1"/>
    <d v="2023-05-30T00:00:00"/>
    <n v="599.96"/>
    <n v="1178"/>
    <n v="3"/>
    <d v="2024-12-31T00:00:00"/>
    <d v="2026-09-11T12:28:26"/>
  </r>
  <r>
    <s v="TRX0055"/>
    <x v="82"/>
    <x v="39"/>
    <s v="Elizabeth Hall"/>
    <s v="P002"/>
    <x v="5"/>
    <x v="0"/>
    <n v="2"/>
    <n v="699.99"/>
    <x v="3"/>
    <x v="4"/>
    <x v="1"/>
    <d v="2023-12-14T00:00:00"/>
    <n v="1399.98"/>
    <n v="1573"/>
    <n v="4"/>
    <d v="2024-12-31T00:00:00"/>
    <d v="2026-09-11T12:28:26"/>
  </r>
  <r>
    <s v="TRX0218"/>
    <x v="82"/>
    <x v="41"/>
    <s v="Carol Evans"/>
    <s v="P008"/>
    <x v="2"/>
    <x v="2"/>
    <n v="3"/>
    <n v="149.99"/>
    <x v="1"/>
    <x v="1"/>
    <x v="2"/>
    <d v="2023-01-14T00:00:00"/>
    <n v="449.97"/>
    <n v="1880"/>
    <n v="5"/>
    <d v="2024-12-31T00:00:00"/>
    <d v="2026-09-11T12:28:26"/>
  </r>
  <r>
    <s v="TRX0085"/>
    <x v="83"/>
    <x v="29"/>
    <s v="Daniel King"/>
    <s v="P007"/>
    <x v="6"/>
    <x v="2"/>
    <n v="3"/>
    <n v="299.99"/>
    <x v="1"/>
    <x v="0"/>
    <x v="2"/>
    <d v="2023-09-05T00:00:00"/>
    <n v="899.97"/>
    <n v="1224"/>
    <n v="3"/>
    <d v="2024-12-31T00:00:00"/>
    <d v="2026-09-11T12:28:26"/>
  </r>
  <r>
    <s v="TRX0158"/>
    <x v="84"/>
    <x v="13"/>
    <s v="George Adams"/>
    <s v="P001"/>
    <x v="4"/>
    <x v="0"/>
    <n v="3"/>
    <n v="899.99"/>
    <x v="2"/>
    <x v="3"/>
    <x v="0"/>
    <d v="2023-10-16T00:00:00"/>
    <n v="2699.97"/>
    <n v="1355"/>
    <n v="3"/>
    <d v="2024-12-31T00:00:00"/>
    <d v="2026-09-11T12:28:26"/>
  </r>
  <r>
    <s v="TRX0173"/>
    <x v="85"/>
    <x v="17"/>
    <s v="Barbara Young"/>
    <s v="P002"/>
    <x v="5"/>
    <x v="0"/>
    <n v="5"/>
    <n v="699.99"/>
    <x v="0"/>
    <x v="4"/>
    <x v="2"/>
    <d v="2023-03-23T00:00:00"/>
    <n v="3499.95"/>
    <n v="1497"/>
    <n v="4"/>
    <d v="2024-12-31T00:00:00"/>
    <d v="2026-09-11T12:28:26"/>
  </r>
  <r>
    <s v="TRX0034"/>
    <x v="85"/>
    <x v="34"/>
    <s v="Raymond Ross"/>
    <s v="P002"/>
    <x v="5"/>
    <x v="0"/>
    <n v="4"/>
    <n v="699.99"/>
    <x v="1"/>
    <x v="0"/>
    <x v="0"/>
    <d v="2024-04-03T00:00:00"/>
    <n v="2799.96"/>
    <n v="1870"/>
    <n v="5"/>
    <d v="2024-12-31T00:00:00"/>
    <d v="2026-09-11T12:28:26"/>
  </r>
  <r>
    <s v="TRX0189"/>
    <x v="85"/>
    <x v="30"/>
    <s v="Sharon Butler"/>
    <s v="P001"/>
    <x v="4"/>
    <x v="0"/>
    <n v="1"/>
    <n v="899.99"/>
    <x v="1"/>
    <x v="4"/>
    <x v="2"/>
    <d v="2024-03-18T00:00:00"/>
    <n v="899.99"/>
    <n v="1076"/>
    <n v="2"/>
    <d v="2024-12-31T00:00:00"/>
    <d v="2026-09-11T12:28:26"/>
  </r>
  <r>
    <s v="TRX0190"/>
    <x v="86"/>
    <x v="40"/>
    <s v="Lawrence Reed"/>
    <s v="P003"/>
    <x v="3"/>
    <x v="0"/>
    <n v="2"/>
    <n v="149.99"/>
    <x v="1"/>
    <x v="3"/>
    <x v="0"/>
    <d v="2022-12-21T00:00:00"/>
    <n v="299.98"/>
    <n v="1552"/>
    <n v="4"/>
    <d v="2024-12-31T00:00:00"/>
    <d v="2026-09-11T12:28:26"/>
  </r>
  <r>
    <s v="TRX0079"/>
    <x v="87"/>
    <x v="40"/>
    <s v="Lawrence Reed"/>
    <s v="P010"/>
    <x v="8"/>
    <x v="0"/>
    <n v="3"/>
    <n v="89.99"/>
    <x v="2"/>
    <x v="0"/>
    <x v="0"/>
    <d v="2021-12-21T00:00:00"/>
    <n v="269.97000000000003"/>
    <n v="1085"/>
    <n v="2"/>
    <d v="2024-12-31T00:00:00"/>
    <d v="2026-09-11T12:28:26"/>
  </r>
  <r>
    <s v="TRX0095"/>
    <x v="88"/>
    <x v="3"/>
    <s v="Kathleen Bennett"/>
    <s v="P003"/>
    <x v="3"/>
    <x v="0"/>
    <n v="2"/>
    <n v="149.99"/>
    <x v="2"/>
    <x v="0"/>
    <x v="0"/>
    <d v="2021-10-04T00:00:00"/>
    <n v="299.98"/>
    <n v="1516"/>
    <n v="4"/>
    <d v="2024-12-31T00:00:00"/>
    <d v="2026-09-11T12:28:26"/>
  </r>
  <r>
    <s v="TRX0009"/>
    <x v="88"/>
    <x v="31"/>
    <s v="Sarah Davis"/>
    <s v="P002"/>
    <x v="5"/>
    <x v="0"/>
    <n v="2"/>
    <n v="699.99"/>
    <x v="0"/>
    <x v="0"/>
    <x v="0"/>
    <d v="2023-03-07T00:00:00"/>
    <n v="1399.98"/>
    <n v="1651"/>
    <n v="4"/>
    <d v="2024-12-31T00:00:00"/>
    <d v="2026-09-11T12:28:26"/>
  </r>
  <r>
    <s v="TRX0167"/>
    <x v="89"/>
    <x v="32"/>
    <s v="Betty Campbell"/>
    <s v="P002"/>
    <x v="5"/>
    <x v="0"/>
    <n v="5"/>
    <n v="699.99"/>
    <x v="0"/>
    <x v="2"/>
    <x v="1"/>
    <d v="2022-03-15T00:00:00"/>
    <n v="3499.95"/>
    <n v="1037"/>
    <n v="2"/>
    <d v="2024-12-31T00:00:00"/>
    <d v="2026-09-11T12:28:26"/>
  </r>
  <r>
    <s v="TRX0153"/>
    <x v="90"/>
    <x v="34"/>
    <s v="Raymond Ross"/>
    <s v="P010"/>
    <x v="8"/>
    <x v="0"/>
    <n v="3"/>
    <n v="89.99"/>
    <x v="1"/>
    <x v="2"/>
    <x v="2"/>
    <d v="2022-02-23T00:00:00"/>
    <n v="269.97000000000003"/>
    <n v="996"/>
    <n v="2"/>
    <d v="2024-12-31T00:00:00"/>
    <d v="2026-09-11T12:28:26"/>
  </r>
  <r>
    <s v="TRX0057"/>
    <x v="91"/>
    <x v="0"/>
    <s v="Paul Baker"/>
    <s v="P009"/>
    <x v="0"/>
    <x v="0"/>
    <n v="5"/>
    <n v="249.99"/>
    <x v="1"/>
    <x v="1"/>
    <x v="2"/>
    <d v="2022-11-16T00:00:00"/>
    <n v="1249.95"/>
    <n v="1754"/>
    <n v="4"/>
    <d v="2024-12-31T00:00:00"/>
    <d v="2026-09-11T12:28:26"/>
  </r>
  <r>
    <s v="TRX0017"/>
    <x v="92"/>
    <x v="8"/>
    <s v="Karen Hill"/>
    <s v="P007"/>
    <x v="6"/>
    <x v="2"/>
    <n v="3"/>
    <n v="299.99"/>
    <x v="1"/>
    <x v="1"/>
    <x v="2"/>
    <d v="2021-11-02T00:00:00"/>
    <n v="899.97"/>
    <n v="1555"/>
    <n v="4"/>
    <d v="2024-12-31T00:00:00"/>
    <d v="2026-09-11T12:28:26"/>
  </r>
  <r>
    <s v="TRX0060"/>
    <x v="93"/>
    <x v="18"/>
    <s v="Patricia Moore"/>
    <s v="P010"/>
    <x v="8"/>
    <x v="0"/>
    <n v="3"/>
    <n v="89.99"/>
    <x v="1"/>
    <x v="2"/>
    <x v="1"/>
    <d v="2021-08-12T00:00:00"/>
    <n v="269.97000000000003"/>
    <n v="1505"/>
    <n v="4"/>
    <d v="2024-12-31T00:00:00"/>
    <d v="2026-09-11T12:28:26"/>
  </r>
  <r>
    <s v="TRX0109"/>
    <x v="94"/>
    <x v="15"/>
    <s v="Maria Garcia"/>
    <s v="P008"/>
    <x v="2"/>
    <x v="2"/>
    <n v="2"/>
    <n v="149.99"/>
    <x v="1"/>
    <x v="3"/>
    <x v="1"/>
    <d v="2022-10-14T00:00:00"/>
    <n v="299.98"/>
    <n v="1753"/>
    <n v="4"/>
    <d v="2024-12-31T00:00:00"/>
    <d v="2026-09-11T12:28:26"/>
  </r>
  <r>
    <s v="TRX0090"/>
    <x v="95"/>
    <x v="36"/>
    <s v="Margaret Wright"/>
    <s v="P009"/>
    <x v="0"/>
    <x v="0"/>
    <n v="1"/>
    <n v="249.99"/>
    <x v="1"/>
    <x v="2"/>
    <x v="1"/>
    <d v="2022-09-24T00:00:00"/>
    <n v="249.99"/>
    <n v="1685"/>
    <n v="4"/>
    <d v="2024-12-31T00:00:00"/>
    <d v="2026-09-11T12:28:26"/>
  </r>
  <r>
    <s v="TRX0035"/>
    <x v="96"/>
    <x v="10"/>
    <s v="Peter Richardson"/>
    <s v="P003"/>
    <x v="3"/>
    <x v="0"/>
    <n v="3"/>
    <n v="149.99"/>
    <x v="0"/>
    <x v="2"/>
    <x v="0"/>
    <d v="2022-07-27T00:00:00"/>
    <n v="449.97"/>
    <n v="929"/>
    <n v="2"/>
    <d v="2024-12-31T00:00:00"/>
    <d v="2026-09-11T12:28:26"/>
  </r>
  <r>
    <s v="TRX0172"/>
    <x v="96"/>
    <x v="0"/>
    <s v="Paul Baker"/>
    <s v="P005"/>
    <x v="1"/>
    <x v="1"/>
    <n v="5"/>
    <n v="59.99"/>
    <x v="2"/>
    <x v="3"/>
    <x v="1"/>
    <d v="2022-05-13T00:00:00"/>
    <n v="299.95"/>
    <n v="1226"/>
    <n v="3"/>
    <d v="2024-12-31T00:00:00"/>
    <d v="2026-09-11T12:28:26"/>
  </r>
  <r>
    <s v="TRX0076"/>
    <x v="96"/>
    <x v="18"/>
    <s v="Patricia Moore"/>
    <s v="P009"/>
    <x v="0"/>
    <x v="0"/>
    <n v="4"/>
    <n v="249.99"/>
    <x v="1"/>
    <x v="3"/>
    <x v="2"/>
    <d v="2022-04-08T00:00:00"/>
    <n v="999.96"/>
    <n v="1712"/>
    <n v="4"/>
    <d v="2025-01-31T00:00:00"/>
    <d v="2026-09-11T12:28:26"/>
  </r>
  <r>
    <s v="TRX0210"/>
    <x v="97"/>
    <x v="31"/>
    <s v="Sarah Davis"/>
    <s v="P008"/>
    <x v="2"/>
    <x v="2"/>
    <n v="5"/>
    <n v="149.99"/>
    <x v="2"/>
    <x v="0"/>
    <x v="0"/>
    <d v="2022-12-06T00:00:00"/>
    <n v="749.95"/>
    <n v="1524"/>
    <n v="4"/>
    <d v="2025-01-31T00:00:00"/>
    <d v="2026-09-11T12:28:26"/>
  </r>
  <r>
    <s v="TRX0149"/>
    <x v="97"/>
    <x v="13"/>
    <s v="George Adams"/>
    <s v="P005"/>
    <x v="1"/>
    <x v="1"/>
    <n v="3"/>
    <n v="59.99"/>
    <x v="3"/>
    <x v="1"/>
    <x v="2"/>
    <d v="2023-11-30T00:00:00"/>
    <n v="179.97"/>
    <n v="1452"/>
    <n v="3"/>
    <d v="2025-01-31T00:00:00"/>
    <d v="2026-09-11T12:28:26"/>
  </r>
  <r>
    <s v="TRX0073"/>
    <x v="98"/>
    <x v="42"/>
    <s v="Sandra Phillips"/>
    <s v="P008"/>
    <x v="2"/>
    <x v="2"/>
    <n v="5"/>
    <n v="149.99"/>
    <x v="0"/>
    <x v="2"/>
    <x v="0"/>
    <d v="2022-11-04T00:00:00"/>
    <n v="749.95"/>
    <n v="1854"/>
    <n v="5"/>
    <d v="2025-01-31T00:00:00"/>
    <d v="2026-09-11T12:28:26"/>
  </r>
  <r>
    <s v="TRX0033"/>
    <x v="98"/>
    <x v="14"/>
    <s v="Mark Carter"/>
    <s v="P002"/>
    <x v="5"/>
    <x v="0"/>
    <n v="2"/>
    <n v="699.99"/>
    <x v="2"/>
    <x v="3"/>
    <x v="2"/>
    <d v="2022-07-28T00:00:00"/>
    <n v="1399.98"/>
    <n v="1171"/>
    <n v="3"/>
    <d v="2025-01-31T00:00:00"/>
    <d v="2026-09-11T12:28:26"/>
  </r>
  <r>
    <s v="TRX0160"/>
    <x v="99"/>
    <x v="23"/>
    <s v="Edward Mitchell"/>
    <s v="P006"/>
    <x v="9"/>
    <x v="2"/>
    <n v="4"/>
    <n v="199.99"/>
    <x v="3"/>
    <x v="0"/>
    <x v="1"/>
    <d v="2021-08-19T00:00:00"/>
    <n v="799.96"/>
    <n v="1643"/>
    <n v="4"/>
    <d v="2025-01-31T00:00:00"/>
    <d v="2026-09-11T12:28:26"/>
  </r>
  <r>
    <s v="TRX0145"/>
    <x v="100"/>
    <x v="37"/>
    <s v="Frank Torres"/>
    <s v="P005"/>
    <x v="1"/>
    <x v="1"/>
    <n v="1"/>
    <n v="59.99"/>
    <x v="3"/>
    <x v="3"/>
    <x v="2"/>
    <d v="2021-12-30T00:00:00"/>
    <n v="59.99"/>
    <n v="946"/>
    <n v="2"/>
    <d v="2025-01-31T00:00:00"/>
    <d v="2026-09-11T12:28:26"/>
  </r>
  <r>
    <s v="TRX0148"/>
    <x v="100"/>
    <x v="31"/>
    <s v="Sarah Davis"/>
    <s v="P002"/>
    <x v="5"/>
    <x v="0"/>
    <n v="3"/>
    <n v="699.99"/>
    <x v="2"/>
    <x v="3"/>
    <x v="2"/>
    <d v="2022-01-22T00:00:00"/>
    <n v="2099.9699999999998"/>
    <n v="1740"/>
    <n v="4"/>
    <d v="2025-01-31T00:00:00"/>
    <d v="2026-09-11T12:28:26"/>
  </r>
  <r>
    <s v="TRX0012"/>
    <x v="101"/>
    <x v="46"/>
    <s v="Douglas Watson"/>
    <s v="P009"/>
    <x v="0"/>
    <x v="0"/>
    <n v="5"/>
    <n v="249.99"/>
    <x v="1"/>
    <x v="2"/>
    <x v="0"/>
    <d v="2022-11-08T00:00:00"/>
    <n v="1249.95"/>
    <n v="1674"/>
    <n v="4"/>
    <d v="2025-01-31T00:00:00"/>
    <d v="2026-09-11T12:28:26"/>
  </r>
  <r>
    <s v="TRX0206"/>
    <x v="102"/>
    <x v="21"/>
    <s v="Linda Martin"/>
    <s v="P008"/>
    <x v="2"/>
    <x v="2"/>
    <n v="2"/>
    <n v="149.99"/>
    <x v="0"/>
    <x v="1"/>
    <x v="2"/>
    <d v="2023-06-24T00:00:00"/>
    <n v="299.98"/>
    <n v="954"/>
    <n v="2"/>
    <d v="2025-01-31T00:00:00"/>
    <d v="2026-09-11T12:28:26"/>
  </r>
  <r>
    <s v="TRX0045"/>
    <x v="103"/>
    <x v="2"/>
    <s v="Kevin Scott"/>
    <s v="P007"/>
    <x v="6"/>
    <x v="2"/>
    <n v="3"/>
    <n v="299.99"/>
    <x v="0"/>
    <x v="1"/>
    <x v="1"/>
    <d v="2022-04-08T00:00:00"/>
    <n v="899.97"/>
    <n v="1840"/>
    <n v="5"/>
    <d v="2025-01-31T00:00:00"/>
    <d v="2026-09-11T12:28:26"/>
  </r>
  <r>
    <s v="TRX0094"/>
    <x v="103"/>
    <x v="6"/>
    <s v="Charles Allen"/>
    <s v="P009"/>
    <x v="0"/>
    <x v="0"/>
    <n v="5"/>
    <n v="249.99"/>
    <x v="0"/>
    <x v="0"/>
    <x v="1"/>
    <d v="2021-10-16T00:00:00"/>
    <n v="1249.95"/>
    <n v="1816"/>
    <n v="4"/>
    <d v="2025-01-31T00:00:00"/>
    <d v="2026-09-11T12:28:26"/>
  </r>
  <r>
    <s v="TRX0133"/>
    <x v="103"/>
    <x v="1"/>
    <s v="Joseph Jackson"/>
    <s v="P003"/>
    <x v="3"/>
    <x v="0"/>
    <n v="2"/>
    <n v="149.99"/>
    <x v="0"/>
    <x v="1"/>
    <x v="1"/>
    <d v="2021-10-06T00:00:00"/>
    <n v="299.98"/>
    <n v="1363"/>
    <n v="3"/>
    <d v="2025-01-31T00:00:00"/>
    <d v="2026-09-11T12:28:26"/>
  </r>
  <r>
    <s v="TRX0201"/>
    <x v="103"/>
    <x v="14"/>
    <s v="Mark Carter"/>
    <s v="P002"/>
    <x v="5"/>
    <x v="0"/>
    <n v="5"/>
    <n v="699.99"/>
    <x v="3"/>
    <x v="3"/>
    <x v="2"/>
    <d v="2023-01-18T00:00:00"/>
    <n v="3499.95"/>
    <n v="1072"/>
    <n v="2"/>
    <d v="2025-01-31T00:00:00"/>
    <d v="2026-09-11T12:28:26"/>
  </r>
  <r>
    <s v="TRX0137"/>
    <x v="104"/>
    <x v="44"/>
    <s v="William White"/>
    <s v="P009"/>
    <x v="0"/>
    <x v="0"/>
    <n v="4"/>
    <n v="249.99"/>
    <x v="2"/>
    <x v="4"/>
    <x v="1"/>
    <d v="2023-06-21T00:00:00"/>
    <n v="999.96"/>
    <n v="1732"/>
    <n v="4"/>
    <d v="2025-01-31T00:00:00"/>
    <d v="2026-09-11T12:28:26"/>
  </r>
  <r>
    <s v="TRX0066"/>
    <x v="105"/>
    <x v="5"/>
    <s v="Dorothy Nelson"/>
    <s v="P002"/>
    <x v="5"/>
    <x v="0"/>
    <n v="4"/>
    <n v="699.99"/>
    <x v="1"/>
    <x v="2"/>
    <x v="1"/>
    <d v="2022-05-22T00:00:00"/>
    <n v="2799.96"/>
    <n v="1845"/>
    <n v="5"/>
    <d v="2025-01-31T00:00:00"/>
    <d v="2026-09-11T12:28:26"/>
  </r>
  <r>
    <s v="TRX0180"/>
    <x v="106"/>
    <x v="20"/>
    <s v="Nancy Collins"/>
    <s v="P009"/>
    <x v="0"/>
    <x v="0"/>
    <n v="2"/>
    <n v="249.99"/>
    <x v="1"/>
    <x v="0"/>
    <x v="1"/>
    <d v="2021-07-19T00:00:00"/>
    <n v="499.98"/>
    <n v="1881"/>
    <n v="5"/>
    <d v="2025-01-31T00:00:00"/>
    <d v="2026-09-11T12:28:26"/>
  </r>
  <r>
    <s v="TRX0082"/>
    <x v="106"/>
    <x v="47"/>
    <s v="James Johnson"/>
    <s v="P005"/>
    <x v="1"/>
    <x v="1"/>
    <n v="3"/>
    <n v="59.99"/>
    <x v="0"/>
    <x v="0"/>
    <x v="1"/>
    <d v="2023-05-06T00:00:00"/>
    <n v="179.97"/>
    <n v="1634"/>
    <n v="4"/>
    <d v="2025-01-31T00:00:00"/>
    <d v="2026-09-11T12:28:26"/>
  </r>
  <r>
    <s v="TRX0036"/>
    <x v="106"/>
    <x v="27"/>
    <s v="Jennifer Taylor"/>
    <s v="P004"/>
    <x v="7"/>
    <x v="1"/>
    <n v="4"/>
    <n v="79.989999999999995"/>
    <x v="3"/>
    <x v="4"/>
    <x v="2"/>
    <d v="2022-12-26T00:00:00"/>
    <n v="319.95999999999998"/>
    <n v="1712"/>
    <n v="4"/>
    <d v="2025-01-31T00:00:00"/>
    <d v="2026-09-11T12:28:26"/>
  </r>
  <r>
    <s v="TRX0198"/>
    <x v="107"/>
    <x v="22"/>
    <s v="Helen Roberts"/>
    <s v="P004"/>
    <x v="7"/>
    <x v="1"/>
    <n v="3"/>
    <n v="79.989999999999995"/>
    <x v="3"/>
    <x v="4"/>
    <x v="2"/>
    <d v="2022-08-06T00:00:00"/>
    <n v="239.97"/>
    <n v="1059"/>
    <n v="2"/>
    <d v="2025-01-31T00:00:00"/>
    <d v="2026-09-11T12:28:26"/>
  </r>
  <r>
    <s v="TRX0032"/>
    <x v="108"/>
    <x v="10"/>
    <s v="Peter Richardson"/>
    <s v="P001"/>
    <x v="4"/>
    <x v="0"/>
    <n v="2"/>
    <n v="899.99"/>
    <x v="0"/>
    <x v="2"/>
    <x v="0"/>
    <d v="2021-07-29T00:00:00"/>
    <n v="1799.98"/>
    <n v="1542"/>
    <n v="4"/>
    <d v="2025-01-31T00:00:00"/>
    <d v="2026-09-11T12:28:26"/>
  </r>
  <r>
    <s v="TRX0081"/>
    <x v="109"/>
    <x v="35"/>
    <s v="David Martinez"/>
    <s v="P008"/>
    <x v="2"/>
    <x v="2"/>
    <n v="1"/>
    <n v="149.99"/>
    <x v="3"/>
    <x v="4"/>
    <x v="2"/>
    <d v="2023-10-01T00:00:00"/>
    <n v="149.99"/>
    <n v="1324"/>
    <n v="3"/>
    <d v="2025-01-31T00:00:00"/>
    <d v="2026-09-11T12:28:26"/>
  </r>
  <r>
    <s v="TRX0224"/>
    <x v="109"/>
    <x v="26"/>
    <s v="Steven Turner"/>
    <s v="P007"/>
    <x v="6"/>
    <x v="2"/>
    <n v="2"/>
    <n v="299.99"/>
    <x v="0"/>
    <x v="4"/>
    <x v="1"/>
    <d v="2022-06-12T00:00:00"/>
    <n v="599.98"/>
    <n v="1595"/>
    <n v="4"/>
    <d v="2025-01-31T00:00:00"/>
    <d v="2026-09-11T12:28:26"/>
  </r>
  <r>
    <s v="TRX0028"/>
    <x v="110"/>
    <x v="25"/>
    <s v="Emma Wilson"/>
    <s v="P005"/>
    <x v="1"/>
    <x v="1"/>
    <n v="2"/>
    <n v="59.99"/>
    <x v="0"/>
    <x v="3"/>
    <x v="0"/>
    <d v="2023-09-22T00:00:00"/>
    <n v="119.98"/>
    <n v="1584"/>
    <n v="4"/>
    <d v="2025-01-31T00:00:00"/>
    <d v="2026-09-11T12:28:26"/>
  </r>
  <r>
    <s v="TRX0183"/>
    <x v="111"/>
    <x v="35"/>
    <s v="David Martinez"/>
    <s v="P010"/>
    <x v="8"/>
    <x v="0"/>
    <n v="1"/>
    <n v="89.99"/>
    <x v="3"/>
    <x v="0"/>
    <x v="2"/>
    <d v="2022-07-18T00:00:00"/>
    <n v="89.99"/>
    <n v="1499"/>
    <n v="4"/>
    <d v="2025-01-31T00:00:00"/>
    <d v="2026-09-11T12:28:26"/>
  </r>
  <r>
    <s v="TRX0163"/>
    <x v="111"/>
    <x v="29"/>
    <s v="Daniel King"/>
    <s v="P001"/>
    <x v="4"/>
    <x v="0"/>
    <n v="5"/>
    <n v="899.99"/>
    <x v="3"/>
    <x v="4"/>
    <x v="2"/>
    <d v="2022-03-05T00:00:00"/>
    <n v="4499.95"/>
    <n v="969"/>
    <n v="2"/>
    <d v="2025-01-31T00:00:00"/>
    <d v="2026-09-11T12:28:26"/>
  </r>
  <r>
    <s v="TRX0046"/>
    <x v="112"/>
    <x v="4"/>
    <s v="Michael Brown"/>
    <s v="P008"/>
    <x v="2"/>
    <x v="2"/>
    <n v="2"/>
    <n v="149.99"/>
    <x v="0"/>
    <x v="1"/>
    <x v="0"/>
    <d v="2023-11-09T00:00:00"/>
    <n v="299.98"/>
    <n v="1231"/>
    <n v="3"/>
    <d v="2025-02-28T00:00:00"/>
    <d v="2026-09-11T12:28:26"/>
  </r>
  <r>
    <s v="TRX0164"/>
    <x v="113"/>
    <x v="21"/>
    <s v="Linda Martin"/>
    <s v="P003"/>
    <x v="3"/>
    <x v="0"/>
    <n v="2"/>
    <n v="149.99"/>
    <x v="3"/>
    <x v="3"/>
    <x v="1"/>
    <d v="2023-12-20T00:00:00"/>
    <n v="299.98"/>
    <n v="1712"/>
    <n v="4"/>
    <d v="2025-02-28T00:00:00"/>
    <d v="2026-09-11T12:28:26"/>
  </r>
  <r>
    <s v="TRX0008"/>
    <x v="113"/>
    <x v="35"/>
    <s v="David Martinez"/>
    <s v="P008"/>
    <x v="2"/>
    <x v="2"/>
    <n v="3"/>
    <n v="149.99"/>
    <x v="3"/>
    <x v="2"/>
    <x v="2"/>
    <d v="2021-11-22T00:00:00"/>
    <n v="449.97"/>
    <n v="1317"/>
    <n v="3"/>
    <d v="2025-02-28T00:00:00"/>
    <d v="2026-09-11T12:28:26"/>
  </r>
  <r>
    <s v="TRX0171"/>
    <x v="114"/>
    <x v="2"/>
    <s v="Kevin Scott"/>
    <s v="P007"/>
    <x v="6"/>
    <x v="2"/>
    <n v="2"/>
    <n v="299.99"/>
    <x v="2"/>
    <x v="1"/>
    <x v="0"/>
    <d v="2022-06-09T00:00:00"/>
    <n v="599.98"/>
    <n v="1099"/>
    <n v="3"/>
    <d v="2025-02-28T00:00:00"/>
    <d v="2026-09-11T12:28:26"/>
  </r>
  <r>
    <s v="TRX0143"/>
    <x v="115"/>
    <x v="4"/>
    <s v="Michael Brown"/>
    <s v="P007"/>
    <x v="6"/>
    <x v="2"/>
    <n v="2"/>
    <n v="299.99"/>
    <x v="0"/>
    <x v="3"/>
    <x v="0"/>
    <d v="2022-07-29T00:00:00"/>
    <n v="599.98"/>
    <n v="1840"/>
    <n v="5"/>
    <d v="2025-02-28T00:00:00"/>
    <d v="2026-09-11T12:28:26"/>
  </r>
  <r>
    <s v="TRX0165"/>
    <x v="115"/>
    <x v="22"/>
    <s v="Helen Roberts"/>
    <s v="P006"/>
    <x v="9"/>
    <x v="2"/>
    <n v="4"/>
    <n v="199.99"/>
    <x v="1"/>
    <x v="0"/>
    <x v="0"/>
    <d v="2021-11-23T00:00:00"/>
    <n v="799.96"/>
    <n v="1541"/>
    <n v="4"/>
    <d v="2025-02-28T00:00:00"/>
    <d v="2026-09-11T12:28:26"/>
  </r>
  <r>
    <s v="TRX0156"/>
    <x v="116"/>
    <x v="7"/>
    <s v="Robert Thomas"/>
    <s v="P010"/>
    <x v="8"/>
    <x v="0"/>
    <n v="1"/>
    <n v="89.99"/>
    <x v="1"/>
    <x v="1"/>
    <x v="1"/>
    <d v="2022-01-30T00:00:00"/>
    <n v="89.99"/>
    <n v="1019"/>
    <n v="2"/>
    <d v="2025-02-28T00:00:00"/>
    <d v="2026-09-11T12:28:26"/>
  </r>
  <r>
    <s v="TRX0147"/>
    <x v="116"/>
    <x v="20"/>
    <s v="Nancy Collins"/>
    <s v="P008"/>
    <x v="2"/>
    <x v="2"/>
    <n v="5"/>
    <n v="149.99"/>
    <x v="0"/>
    <x v="0"/>
    <x v="1"/>
    <d v="2024-02-25T00:00:00"/>
    <n v="749.95"/>
    <n v="1548"/>
    <n v="4"/>
    <d v="2025-02-28T00:00:00"/>
    <d v="2026-09-11T12:28:26"/>
  </r>
  <r>
    <s v="TRX0207"/>
    <x v="117"/>
    <x v="14"/>
    <s v="Mark Carter"/>
    <s v="P001"/>
    <x v="4"/>
    <x v="0"/>
    <n v="1"/>
    <n v="899.99"/>
    <x v="2"/>
    <x v="2"/>
    <x v="1"/>
    <d v="2023-05-04T00:00:00"/>
    <n v="899.99"/>
    <n v="924"/>
    <n v="2"/>
    <d v="2025-02-28T00:00:00"/>
    <d v="2026-09-11T12:28:26"/>
  </r>
  <r>
    <s v="TRX0056"/>
    <x v="118"/>
    <x v="29"/>
    <s v="Daniel King"/>
    <s v="P010"/>
    <x v="8"/>
    <x v="0"/>
    <n v="2"/>
    <n v="89.99"/>
    <x v="1"/>
    <x v="1"/>
    <x v="1"/>
    <d v="2022-01-03T00:00:00"/>
    <n v="179.98"/>
    <n v="1643"/>
    <n v="4"/>
    <d v="2025-02-28T00:00:00"/>
    <d v="2026-09-11T12:28:26"/>
  </r>
  <r>
    <s v="TRX0026"/>
    <x v="119"/>
    <x v="48"/>
    <s v="Arthur Edwards"/>
    <s v="P001"/>
    <x v="4"/>
    <x v="0"/>
    <n v="1"/>
    <n v="899.99"/>
    <x v="2"/>
    <x v="2"/>
    <x v="2"/>
    <d v="2022-07-10T00:00:00"/>
    <n v="899.99"/>
    <n v="1663"/>
    <n v="4"/>
    <d v="2025-02-28T00:00:00"/>
    <d v="2026-09-11T12:28:26"/>
  </r>
  <r>
    <s v="TRX0237"/>
    <x v="120"/>
    <x v="24"/>
    <s v="Lisa Anderson"/>
    <s v="P003"/>
    <x v="3"/>
    <x v="0"/>
    <n v="5"/>
    <n v="149.99"/>
    <x v="2"/>
    <x v="4"/>
    <x v="1"/>
    <d v="2022-09-20T00:00:00"/>
    <n v="749.95"/>
    <n v="1453"/>
    <n v="3"/>
    <d v="2025-02-28T00:00:00"/>
    <d v="2026-09-11T12:28:26"/>
  </r>
  <r>
    <s v="TRX0091"/>
    <x v="120"/>
    <x v="4"/>
    <s v="Michael Brown"/>
    <s v="P007"/>
    <x v="6"/>
    <x v="2"/>
    <n v="3"/>
    <n v="299.99"/>
    <x v="0"/>
    <x v="1"/>
    <x v="2"/>
    <d v="2021-08-14T00:00:00"/>
    <n v="899.97"/>
    <n v="1134"/>
    <n v="3"/>
    <d v="2025-02-28T00:00:00"/>
    <d v="2026-09-11T12:28:26"/>
  </r>
  <r>
    <s v="TRX0125"/>
    <x v="121"/>
    <x v="8"/>
    <s v="Karen Hill"/>
    <s v="P002"/>
    <x v="5"/>
    <x v="0"/>
    <n v="3"/>
    <n v="699.99"/>
    <x v="1"/>
    <x v="0"/>
    <x v="1"/>
    <d v="2023-06-28T00:00:00"/>
    <n v="2099.9699999999998"/>
    <n v="1342"/>
    <n v="3"/>
    <d v="2025-02-28T00:00:00"/>
    <d v="2026-09-11T12:28:26"/>
  </r>
  <r>
    <s v="TRX0223"/>
    <x v="122"/>
    <x v="20"/>
    <s v="Nancy Collins"/>
    <s v="P006"/>
    <x v="9"/>
    <x v="2"/>
    <n v="5"/>
    <n v="199.99"/>
    <x v="2"/>
    <x v="0"/>
    <x v="2"/>
    <d v="2022-03-13T00:00:00"/>
    <n v="999.95"/>
    <n v="1693"/>
    <n v="4"/>
    <d v="2025-02-28T00:00:00"/>
    <d v="2026-09-11T12:28:26"/>
  </r>
  <r>
    <s v="TRX0243"/>
    <x v="122"/>
    <x v="16"/>
    <s v="Virginia Sanders"/>
    <s v="P009"/>
    <x v="0"/>
    <x v="0"/>
    <n v="5"/>
    <n v="249.99"/>
    <x v="1"/>
    <x v="1"/>
    <x v="0"/>
    <d v="2024-02-08T00:00:00"/>
    <n v="1249.95"/>
    <n v="1864"/>
    <n v="5"/>
    <d v="2025-02-28T00:00:00"/>
    <d v="2026-09-11T12:28:26"/>
  </r>
  <r>
    <s v="TRX0084"/>
    <x v="123"/>
    <x v="26"/>
    <s v="Steven Turner"/>
    <s v="P003"/>
    <x v="3"/>
    <x v="0"/>
    <n v="4"/>
    <n v="149.99"/>
    <x v="3"/>
    <x v="4"/>
    <x v="2"/>
    <d v="2021-12-06T00:00:00"/>
    <n v="599.96"/>
    <n v="1136"/>
    <n v="3"/>
    <d v="2025-02-28T00:00:00"/>
    <d v="2026-09-11T12:28:26"/>
  </r>
  <r>
    <s v="TRX0238"/>
    <x v="123"/>
    <x v="12"/>
    <s v="Michelle Rogers"/>
    <s v="P002"/>
    <x v="5"/>
    <x v="0"/>
    <n v="3"/>
    <n v="699.99"/>
    <x v="0"/>
    <x v="2"/>
    <x v="1"/>
    <d v="2022-02-10T00:00:00"/>
    <n v="2099.9699999999998"/>
    <n v="1703"/>
    <n v="4"/>
    <d v="2025-02-28T00:00:00"/>
    <d v="2026-09-11T12:28:26"/>
  </r>
  <r>
    <s v="TRX0102"/>
    <x v="124"/>
    <x v="46"/>
    <s v="Douglas Watson"/>
    <s v="P004"/>
    <x v="7"/>
    <x v="1"/>
    <n v="1"/>
    <n v="79.989999999999995"/>
    <x v="1"/>
    <x v="1"/>
    <x v="0"/>
    <d v="2024-01-31T00:00:00"/>
    <n v="79.989999999999995"/>
    <n v="1206"/>
    <n v="3"/>
    <d v="2025-02-28T00:00:00"/>
    <d v="2026-09-11T12:28:26"/>
  </r>
  <r>
    <s v="TRX0022"/>
    <x v="124"/>
    <x v="14"/>
    <s v="Mark Carter"/>
    <s v="P007"/>
    <x v="6"/>
    <x v="2"/>
    <n v="1"/>
    <n v="299.99"/>
    <x v="1"/>
    <x v="2"/>
    <x v="0"/>
    <d v="2021-08-28T00:00:00"/>
    <n v="299.99"/>
    <n v="1700"/>
    <n v="4"/>
    <d v="2025-02-28T00:00:00"/>
    <d v="2026-09-11T12:28:26"/>
  </r>
  <r>
    <s v="TRX0087"/>
    <x v="125"/>
    <x v="32"/>
    <s v="Betty Campbell"/>
    <s v="P009"/>
    <x v="0"/>
    <x v="0"/>
    <n v="4"/>
    <n v="249.99"/>
    <x v="1"/>
    <x v="2"/>
    <x v="1"/>
    <d v="2021-09-21T00:00:00"/>
    <n v="999.96"/>
    <n v="1208"/>
    <n v="3"/>
    <d v="2025-03-31T00:00:00"/>
    <d v="2026-09-11T12:28:26"/>
  </r>
  <r>
    <s v="TRX0107"/>
    <x v="125"/>
    <x v="22"/>
    <s v="Helen Roberts"/>
    <s v="P003"/>
    <x v="3"/>
    <x v="0"/>
    <n v="2"/>
    <n v="149.99"/>
    <x v="0"/>
    <x v="2"/>
    <x v="2"/>
    <d v="2022-12-18T00:00:00"/>
    <n v="299.98"/>
    <n v="1115"/>
    <n v="3"/>
    <d v="2025-03-31T00:00:00"/>
    <d v="2026-09-11T12:28:26"/>
  </r>
  <r>
    <s v="TRX0051"/>
    <x v="125"/>
    <x v="42"/>
    <s v="Sandra Phillips"/>
    <s v="P007"/>
    <x v="6"/>
    <x v="2"/>
    <n v="3"/>
    <n v="299.99"/>
    <x v="1"/>
    <x v="1"/>
    <x v="0"/>
    <d v="2023-10-05T00:00:00"/>
    <n v="899.97"/>
    <n v="985"/>
    <n v="2"/>
    <d v="2025-03-31T00:00:00"/>
    <d v="2026-09-11T12:28:26"/>
  </r>
  <r>
    <s v="TRX0106"/>
    <x v="126"/>
    <x v="40"/>
    <s v="Lawrence Reed"/>
    <s v="P006"/>
    <x v="9"/>
    <x v="2"/>
    <n v="4"/>
    <n v="199.99"/>
    <x v="3"/>
    <x v="1"/>
    <x v="2"/>
    <d v="2021-12-14T00:00:00"/>
    <n v="799.96"/>
    <n v="981"/>
    <n v="2"/>
    <d v="2025-03-31T00:00:00"/>
    <d v="2026-09-11T12:28:26"/>
  </r>
  <r>
    <s v="TRX0059"/>
    <x v="126"/>
    <x v="39"/>
    <s v="Elizabeth Hall"/>
    <s v="P007"/>
    <x v="6"/>
    <x v="2"/>
    <n v="5"/>
    <n v="299.99"/>
    <x v="3"/>
    <x v="0"/>
    <x v="0"/>
    <d v="2021-08-23T00:00:00"/>
    <n v="1499.95"/>
    <n v="1736"/>
    <n v="4"/>
    <d v="2025-03-31T00:00:00"/>
    <d v="2026-09-11T12:28:26"/>
  </r>
  <r>
    <s v="TRX0072"/>
    <x v="126"/>
    <x v="7"/>
    <s v="Robert Thomas"/>
    <s v="P008"/>
    <x v="2"/>
    <x v="2"/>
    <n v="3"/>
    <n v="149.99"/>
    <x v="1"/>
    <x v="4"/>
    <x v="2"/>
    <d v="2021-07-18T00:00:00"/>
    <n v="449.97"/>
    <n v="1644"/>
    <n v="4"/>
    <d v="2025-03-31T00:00:00"/>
    <d v="2026-09-11T12:28:26"/>
  </r>
  <r>
    <s v="TRX0110"/>
    <x v="127"/>
    <x v="24"/>
    <s v="Lisa Anderson"/>
    <s v="P005"/>
    <x v="1"/>
    <x v="1"/>
    <n v="5"/>
    <n v="59.99"/>
    <x v="3"/>
    <x v="4"/>
    <x v="0"/>
    <d v="2022-03-22T00:00:00"/>
    <n v="299.95"/>
    <n v="887"/>
    <n v="2"/>
    <d v="2025-03-31T00:00:00"/>
    <d v="2026-09-11T12:28:26"/>
  </r>
  <r>
    <s v="TRX0126"/>
    <x v="128"/>
    <x v="9"/>
    <s v="Susan Green"/>
    <s v="P005"/>
    <x v="1"/>
    <x v="1"/>
    <n v="4"/>
    <n v="59.99"/>
    <x v="3"/>
    <x v="4"/>
    <x v="2"/>
    <d v="2022-01-03T00:00:00"/>
    <n v="239.96"/>
    <n v="1013"/>
    <n v="2"/>
    <d v="2025-03-31T00:00:00"/>
    <d v="2026-09-11T12:28:26"/>
  </r>
  <r>
    <s v="TRX0159"/>
    <x v="129"/>
    <x v="5"/>
    <s v="Dorothy Nelson"/>
    <s v="P009"/>
    <x v="0"/>
    <x v="0"/>
    <n v="4"/>
    <n v="249.99"/>
    <x v="3"/>
    <x v="0"/>
    <x v="1"/>
    <d v="2023-10-18T00:00:00"/>
    <n v="999.96"/>
    <n v="1159"/>
    <n v="3"/>
    <d v="2025-03-31T00:00:00"/>
    <d v="2026-09-11T12:28:26"/>
  </r>
  <r>
    <s v="TRX0030"/>
    <x v="130"/>
    <x v="44"/>
    <s v="William White"/>
    <s v="P001"/>
    <x v="4"/>
    <x v="0"/>
    <n v="4"/>
    <n v="899.99"/>
    <x v="2"/>
    <x v="0"/>
    <x v="0"/>
    <d v="2022-06-22T00:00:00"/>
    <n v="3599.96"/>
    <n v="1083"/>
    <n v="2"/>
    <d v="2025-03-31T00:00:00"/>
    <d v="2026-09-11T12:28:26"/>
  </r>
  <r>
    <s v="TRX0178"/>
    <x v="130"/>
    <x v="14"/>
    <s v="Mark Carter"/>
    <s v="P007"/>
    <x v="6"/>
    <x v="2"/>
    <n v="3"/>
    <n v="299.99"/>
    <x v="3"/>
    <x v="3"/>
    <x v="2"/>
    <d v="2023-01-26T00:00:00"/>
    <n v="899.97"/>
    <n v="1043"/>
    <n v="2"/>
    <d v="2025-03-31T00:00:00"/>
    <d v="2026-09-11T12:28:26"/>
  </r>
  <r>
    <s v="TRX0188"/>
    <x v="130"/>
    <x v="46"/>
    <s v="Douglas Watson"/>
    <s v="P002"/>
    <x v="5"/>
    <x v="0"/>
    <n v="2"/>
    <n v="699.99"/>
    <x v="3"/>
    <x v="0"/>
    <x v="1"/>
    <d v="2022-04-30T00:00:00"/>
    <n v="1399.98"/>
    <n v="1400"/>
    <n v="3"/>
    <d v="2025-03-31T00:00:00"/>
    <d v="2026-09-11T12:28:26"/>
  </r>
  <r>
    <s v="TRX0010"/>
    <x v="131"/>
    <x v="8"/>
    <s v="Karen Hill"/>
    <s v="P002"/>
    <x v="5"/>
    <x v="0"/>
    <n v="4"/>
    <n v="699.99"/>
    <x v="3"/>
    <x v="3"/>
    <x v="1"/>
    <d v="2022-05-11T00:00:00"/>
    <n v="2799.96"/>
    <n v="1301"/>
    <n v="3"/>
    <d v="2025-03-31T00:00:00"/>
    <d v="2026-09-11T12:28:26"/>
  </r>
  <r>
    <s v="TRX0069"/>
    <x v="131"/>
    <x v="23"/>
    <s v="Edward Mitchell"/>
    <s v="P010"/>
    <x v="8"/>
    <x v="0"/>
    <n v="2"/>
    <n v="89.99"/>
    <x v="3"/>
    <x v="1"/>
    <x v="0"/>
    <d v="2022-08-04T00:00:00"/>
    <n v="179.98"/>
    <n v="1042"/>
    <n v="2"/>
    <d v="2025-03-31T00:00:00"/>
    <d v="2026-09-11T12:28:26"/>
  </r>
  <r>
    <s v="TRX0166"/>
    <x v="131"/>
    <x v="4"/>
    <s v="Michael Brown"/>
    <s v="P010"/>
    <x v="8"/>
    <x v="0"/>
    <n v="3"/>
    <n v="89.99"/>
    <x v="3"/>
    <x v="1"/>
    <x v="1"/>
    <d v="2024-01-16T00:00:00"/>
    <n v="269.97000000000003"/>
    <n v="1716"/>
    <n v="4"/>
    <d v="2025-03-31T00:00:00"/>
    <d v="2026-09-11T12:28:26"/>
  </r>
  <r>
    <s v="TRX0219"/>
    <x v="132"/>
    <x v="48"/>
    <s v="Arthur Edwards"/>
    <s v="P005"/>
    <x v="1"/>
    <x v="1"/>
    <n v="1"/>
    <n v="59.99"/>
    <x v="3"/>
    <x v="0"/>
    <x v="2"/>
    <d v="2023-04-29T00:00:00"/>
    <n v="59.99"/>
    <n v="988"/>
    <n v="2"/>
    <d v="2025-03-31T00:00:00"/>
    <d v="2026-09-11T12:28:26"/>
  </r>
  <r>
    <s v="TRX0024"/>
    <x v="133"/>
    <x v="43"/>
    <s v="Ruth Brooks"/>
    <s v="P008"/>
    <x v="2"/>
    <x v="2"/>
    <n v="3"/>
    <n v="149.99"/>
    <x v="3"/>
    <x v="2"/>
    <x v="1"/>
    <d v="2022-01-03T00:00:00"/>
    <n v="449.97"/>
    <n v="1572"/>
    <n v="4"/>
    <d v="2025-03-31T00:00:00"/>
    <d v="2026-09-11T12:28:26"/>
  </r>
  <r>
    <s v="TRX0105"/>
    <x v="133"/>
    <x v="16"/>
    <s v="Virginia Sanders"/>
    <s v="P007"/>
    <x v="6"/>
    <x v="2"/>
    <n v="5"/>
    <n v="299.99"/>
    <x v="1"/>
    <x v="1"/>
    <x v="0"/>
    <d v="2023-02-02T00:00:00"/>
    <n v="1499.95"/>
    <n v="1105"/>
    <n v="3"/>
    <d v="2025-03-31T00:00:00"/>
    <d v="2026-09-11T12:28:26"/>
  </r>
  <r>
    <s v="TRX0011"/>
    <x v="134"/>
    <x v="30"/>
    <s v="Sharon Butler"/>
    <s v="P005"/>
    <x v="1"/>
    <x v="1"/>
    <n v="5"/>
    <n v="59.99"/>
    <x v="3"/>
    <x v="0"/>
    <x v="2"/>
    <d v="2023-09-08T00:00:00"/>
    <n v="299.95"/>
    <n v="1754"/>
    <n v="4"/>
    <d v="2025-03-31T00:00:00"/>
    <d v="2026-09-11T12:28:26"/>
  </r>
  <r>
    <s v="TRX0187"/>
    <x v="135"/>
    <x v="20"/>
    <s v="Nancy Collins"/>
    <s v="P004"/>
    <x v="7"/>
    <x v="1"/>
    <n v="3"/>
    <n v="79.989999999999995"/>
    <x v="0"/>
    <x v="4"/>
    <x v="1"/>
    <d v="2021-08-28T00:00:00"/>
    <n v="239.97"/>
    <n v="1658"/>
    <n v="4"/>
    <d v="2025-04-30T00:00:00"/>
    <d v="2026-09-11T12:28:26"/>
  </r>
  <r>
    <s v="TRX0089"/>
    <x v="136"/>
    <x v="2"/>
    <s v="Kevin Scott"/>
    <s v="P006"/>
    <x v="9"/>
    <x v="2"/>
    <n v="3"/>
    <n v="199.99"/>
    <x v="0"/>
    <x v="0"/>
    <x v="0"/>
    <d v="2022-06-23T00:00:00"/>
    <n v="599.97"/>
    <n v="1323"/>
    <n v="3"/>
    <d v="2025-04-30T00:00:00"/>
    <d v="2026-09-11T12:28:26"/>
  </r>
  <r>
    <s v="TRX0196"/>
    <x v="136"/>
    <x v="0"/>
    <s v="Paul Baker"/>
    <s v="P010"/>
    <x v="8"/>
    <x v="0"/>
    <n v="2"/>
    <n v="89.99"/>
    <x v="2"/>
    <x v="0"/>
    <x v="0"/>
    <d v="2023-11-27T00:00:00"/>
    <n v="179.98"/>
    <n v="1765"/>
    <n v="4"/>
    <d v="2025-04-30T00:00:00"/>
    <d v="2026-09-11T12:28:26"/>
  </r>
  <r>
    <s v="TRX0118"/>
    <x v="137"/>
    <x v="45"/>
    <s v="Richard Lee"/>
    <s v="P008"/>
    <x v="2"/>
    <x v="2"/>
    <n v="2"/>
    <n v="149.99"/>
    <x v="0"/>
    <x v="1"/>
    <x v="1"/>
    <d v="2022-06-16T00:00:00"/>
    <n v="299.98"/>
    <n v="930"/>
    <n v="2"/>
    <d v="2025-04-30T00:00:00"/>
    <d v="2026-09-11T12:28:26"/>
  </r>
  <r>
    <s v="TRX0179"/>
    <x v="138"/>
    <x v="23"/>
    <s v="Edward Mitchell"/>
    <s v="P002"/>
    <x v="5"/>
    <x v="0"/>
    <n v="5"/>
    <n v="699.99"/>
    <x v="2"/>
    <x v="1"/>
    <x v="1"/>
    <d v="2024-03-01T00:00:00"/>
    <n v="3499.95"/>
    <n v="1367"/>
    <n v="3"/>
    <d v="2025-04-30T00:00:00"/>
    <d v="2026-09-11T12:28:26"/>
  </r>
  <r>
    <s v="TRX0168"/>
    <x v="138"/>
    <x v="4"/>
    <s v="Michael Brown"/>
    <s v="P008"/>
    <x v="2"/>
    <x v="2"/>
    <n v="3"/>
    <n v="149.99"/>
    <x v="2"/>
    <x v="0"/>
    <x v="2"/>
    <d v="2022-03-13T00:00:00"/>
    <n v="449.97"/>
    <n v="1188"/>
    <n v="3"/>
    <d v="2025-04-30T00:00:00"/>
    <d v="2026-09-11T12:28:26"/>
  </r>
  <r>
    <s v="TRX0214"/>
    <x v="139"/>
    <x v="17"/>
    <s v="Barbara Young"/>
    <s v="P001"/>
    <x v="4"/>
    <x v="0"/>
    <n v="3"/>
    <n v="899.99"/>
    <x v="0"/>
    <x v="4"/>
    <x v="2"/>
    <d v="2022-02-21T00:00:00"/>
    <n v="2699.97"/>
    <n v="1398"/>
    <n v="3"/>
    <d v="2025-04-30T00:00:00"/>
    <d v="2026-09-11T12:28:26"/>
  </r>
  <r>
    <s v="TRX0221"/>
    <x v="139"/>
    <x v="37"/>
    <s v="Frank Torres"/>
    <s v="P006"/>
    <x v="9"/>
    <x v="2"/>
    <n v="3"/>
    <n v="199.99"/>
    <x v="0"/>
    <x v="3"/>
    <x v="1"/>
    <d v="2022-09-19T00:00:00"/>
    <n v="599.97"/>
    <n v="46276"/>
    <n v="126"/>
    <d v="1900-01-30T00:00:00"/>
    <d v="2026-09-11T12:28:26"/>
  </r>
  <r>
    <s v="TRX0083"/>
    <x v="140"/>
    <x v="6"/>
    <s v="Charles Allen"/>
    <s v="P007"/>
    <x v="6"/>
    <x v="2"/>
    <n v="5"/>
    <n v="299.99"/>
    <x v="0"/>
    <x v="3"/>
    <x v="2"/>
    <d v="2023-08-04T00:00:00"/>
    <n v="1499.95"/>
    <n v="46276"/>
    <n v="126"/>
    <d v="1900-01-30T00:00:00"/>
    <d v="2026-09-11T12:28:26"/>
  </r>
  <r>
    <s v="TRX0151"/>
    <x v="140"/>
    <x v="30"/>
    <s v="Sharon Butler"/>
    <s v="P002"/>
    <x v="5"/>
    <x v="0"/>
    <n v="1"/>
    <n v="699.99"/>
    <x v="2"/>
    <x v="3"/>
    <x v="0"/>
    <d v="2023-01-08T00:00:00"/>
    <n v="699.99"/>
    <n v="46276"/>
    <n v="126"/>
    <d v="1900-01-30T00:00:00"/>
    <d v="2026-09-11T12:28:26"/>
  </r>
  <r>
    <s v="TRX0047"/>
    <x v="141"/>
    <x v="43"/>
    <s v="Ruth Brooks"/>
    <s v="P002"/>
    <x v="5"/>
    <x v="0"/>
    <n v="1"/>
    <n v="699.99"/>
    <x v="0"/>
    <x v="2"/>
    <x v="1"/>
    <d v="2022-01-22T00:00:00"/>
    <n v="699.99"/>
    <n v="46276"/>
    <n v="126"/>
    <d v="1900-01-30T00:00:00"/>
    <d v="2026-09-11T12:28:26"/>
  </r>
  <r>
    <s v="TRX0200"/>
    <x v="141"/>
    <x v="48"/>
    <s v="Arthur Edwards"/>
    <s v="P008"/>
    <x v="2"/>
    <x v="2"/>
    <n v="4"/>
    <n v="149.99"/>
    <x v="2"/>
    <x v="2"/>
    <x v="1"/>
    <d v="2021-08-04T00:00:00"/>
    <n v="599.96"/>
    <n v="46276"/>
    <n v="126"/>
    <d v="1900-01-30T00:00:00"/>
    <d v="2026-09-11T12:28:26"/>
  </r>
  <r>
    <s v="TRX0062"/>
    <x v="141"/>
    <x v="39"/>
    <s v="Elizabeth Hall"/>
    <s v="P010"/>
    <x v="8"/>
    <x v="0"/>
    <n v="5"/>
    <n v="89.99"/>
    <x v="2"/>
    <x v="3"/>
    <x v="1"/>
    <d v="2023-08-02T00:00:00"/>
    <n v="449.95"/>
    <n v="46276"/>
    <n v="126"/>
    <d v="1900-01-30T00:00:00"/>
    <d v="2026-09-11T12:28:26"/>
  </r>
  <r>
    <s v="TRX0182"/>
    <x v="142"/>
    <x v="26"/>
    <s v="Steven Turner"/>
    <s v="P006"/>
    <x v="9"/>
    <x v="2"/>
    <n v="2"/>
    <n v="199.99"/>
    <x v="0"/>
    <x v="0"/>
    <x v="1"/>
    <d v="2022-01-12T00:00:00"/>
    <n v="399.98"/>
    <n v="46276"/>
    <n v="126"/>
    <d v="1900-01-30T00:00:00"/>
    <d v="2026-09-11T12:28:26"/>
  </r>
  <r>
    <s v="TRX0229"/>
    <x v="143"/>
    <x v="45"/>
    <s v="Richard Lee"/>
    <s v="P005"/>
    <x v="1"/>
    <x v="1"/>
    <n v="4"/>
    <n v="59.99"/>
    <x v="0"/>
    <x v="3"/>
    <x v="2"/>
    <d v="2023-05-24T00:00:00"/>
    <n v="239.96"/>
    <n v="46276"/>
    <n v="126"/>
    <d v="1900-01-30T00:00:00"/>
    <d v="2026-09-11T12:28:26"/>
  </r>
  <r>
    <s v="TRX0048"/>
    <x v="143"/>
    <x v="16"/>
    <s v="Virginia Sanders"/>
    <s v="P007"/>
    <x v="6"/>
    <x v="2"/>
    <n v="2"/>
    <n v="299.99"/>
    <x v="2"/>
    <x v="1"/>
    <x v="0"/>
    <d v="2022-01-15T00:00:00"/>
    <n v="599.98"/>
    <n v="46276"/>
    <n v="126"/>
    <d v="1900-01-30T00:00:00"/>
    <d v="2026-09-11T12:28:26"/>
  </r>
  <r>
    <s v="TRX0227"/>
    <x v="144"/>
    <x v="6"/>
    <s v="Charles Allen"/>
    <s v="P008"/>
    <x v="2"/>
    <x v="2"/>
    <n v="2"/>
    <n v="149.99"/>
    <x v="0"/>
    <x v="0"/>
    <x v="0"/>
    <d v="2023-05-22T00:00:00"/>
    <n v="299.98"/>
    <n v="46276"/>
    <n v="126"/>
    <d v="1900-01-30T00:00:00"/>
    <d v="2026-09-11T12:28:26"/>
  </r>
  <r>
    <s v="TRX0226"/>
    <x v="145"/>
    <x v="40"/>
    <s v="Lawrence Reed"/>
    <s v="P002"/>
    <x v="5"/>
    <x v="0"/>
    <n v="5"/>
    <n v="699.99"/>
    <x v="3"/>
    <x v="4"/>
    <x v="1"/>
    <d v="2023-08-23T00:00:00"/>
    <n v="3499.95"/>
    <n v="46276"/>
    <n v="126"/>
    <d v="1900-01-30T00:00:00"/>
    <d v="2026-09-11T12:28:26"/>
  </r>
  <r>
    <s v="TRX0053"/>
    <x v="146"/>
    <x v="11"/>
    <s v="Dennis Gray"/>
    <s v="P005"/>
    <x v="1"/>
    <x v="1"/>
    <n v="5"/>
    <n v="59.99"/>
    <x v="0"/>
    <x v="3"/>
    <x v="1"/>
    <d v="2023-12-31T00:00:00"/>
    <n v="299.95"/>
    <n v="46276"/>
    <n v="126"/>
    <d v="1900-01-30T00:00:00"/>
    <d v="2026-09-11T12:28:26"/>
  </r>
  <r>
    <s v="TRX0233"/>
    <x v="147"/>
    <x v="0"/>
    <s v="Paul Baker"/>
    <s v="P010"/>
    <x v="8"/>
    <x v="0"/>
    <n v="2"/>
    <n v="89.99"/>
    <x v="1"/>
    <x v="3"/>
    <x v="1"/>
    <d v="2024-01-04T00:00:00"/>
    <n v="179.98"/>
    <n v="46276"/>
    <n v="126"/>
    <d v="1900-01-30T00:00:00"/>
    <d v="2026-09-11T12:28:26"/>
  </r>
  <r>
    <s v="TRX0175"/>
    <x v="147"/>
    <x v="22"/>
    <s v="Helen Roberts"/>
    <s v="P009"/>
    <x v="0"/>
    <x v="0"/>
    <n v="5"/>
    <n v="249.99"/>
    <x v="0"/>
    <x v="4"/>
    <x v="2"/>
    <d v="2021-12-10T00:00:00"/>
    <n v="1249.95"/>
    <n v="46276"/>
    <n v="126"/>
    <d v="1900-01-30T00:00:00"/>
    <d v="2026-09-11T12:28:26"/>
  </r>
  <r>
    <s v="TRX0186"/>
    <x v="148"/>
    <x v="40"/>
    <s v="Lawrence Reed"/>
    <s v="P008"/>
    <x v="2"/>
    <x v="2"/>
    <n v="2"/>
    <n v="149.99"/>
    <x v="2"/>
    <x v="0"/>
    <x v="1"/>
    <d v="2022-03-12T00:00:00"/>
    <n v="299.98"/>
    <n v="46276"/>
    <n v="126"/>
    <d v="1900-01-30T00:00:00"/>
    <d v="2026-09-11T12:28:26"/>
  </r>
  <r>
    <s v="TRX0016"/>
    <x v="148"/>
    <x v="28"/>
    <s v="Harry Morgan"/>
    <s v="P001"/>
    <x v="4"/>
    <x v="0"/>
    <n v="5"/>
    <n v="899.99"/>
    <x v="2"/>
    <x v="4"/>
    <x v="1"/>
    <d v="2024-04-07T00:00:00"/>
    <n v="4499.95"/>
    <n v="46276"/>
    <n v="126"/>
    <d v="1900-01-30T00:00:00"/>
    <d v="2026-09-11T12:28:26"/>
  </r>
  <r>
    <s v="TRX0199"/>
    <x v="148"/>
    <x v="6"/>
    <s v="Charles Allen"/>
    <s v="P008"/>
    <x v="2"/>
    <x v="2"/>
    <n v="4"/>
    <n v="149.99"/>
    <x v="0"/>
    <x v="0"/>
    <x v="2"/>
    <d v="2023-12-03T00:00:00"/>
    <n v="599.96"/>
    <n v="46276"/>
    <n v="126"/>
    <d v="1900-01-30T00:00:00"/>
    <d v="2026-09-11T12:28:26"/>
  </r>
  <r>
    <s v="TRX0038"/>
    <x v="149"/>
    <x v="28"/>
    <s v="Harry Morgan"/>
    <s v="P009"/>
    <x v="0"/>
    <x v="0"/>
    <n v="1"/>
    <n v="249.99"/>
    <x v="0"/>
    <x v="2"/>
    <x v="2"/>
    <d v="2023-07-10T00:00:00"/>
    <n v="249.99"/>
    <n v="46276"/>
    <n v="126"/>
    <d v="1900-01-30T00:00:00"/>
    <d v="2026-09-11T12:28:26"/>
  </r>
  <r>
    <s v="TRX0014"/>
    <x v="150"/>
    <x v="37"/>
    <s v="Frank Torres"/>
    <s v="P005"/>
    <x v="1"/>
    <x v="1"/>
    <n v="2"/>
    <n v="59.99"/>
    <x v="1"/>
    <x v="3"/>
    <x v="0"/>
    <d v="2023-09-24T00:00:00"/>
    <n v="119.98"/>
    <n v="46276"/>
    <n v="126"/>
    <d v="1900-01-30T00:00:00"/>
    <d v="2026-09-11T12:28:26"/>
  </r>
  <r>
    <s v="TRX0003"/>
    <x v="151"/>
    <x v="25"/>
    <s v="Emma Wilson"/>
    <s v="P008"/>
    <x v="2"/>
    <x v="2"/>
    <n v="2"/>
    <n v="149.99"/>
    <x v="0"/>
    <x v="3"/>
    <x v="1"/>
    <d v="2023-11-03T00:00:00"/>
    <n v="299.98"/>
    <n v="46276"/>
    <n v="126"/>
    <d v="1900-01-30T00:00:00"/>
    <d v="2026-09-11T12:28:26"/>
  </r>
  <r>
    <s v="TRX0124"/>
    <x v="151"/>
    <x v="30"/>
    <s v="Sharon Butler"/>
    <s v="P001"/>
    <x v="4"/>
    <x v="0"/>
    <n v="3"/>
    <n v="899.99"/>
    <x v="3"/>
    <x v="2"/>
    <x v="1"/>
    <d v="2022-11-11T00:00:00"/>
    <n v="2699.97"/>
    <n v="46276"/>
    <n v="126"/>
    <d v="1900-01-30T00:00:00"/>
    <d v="2026-09-11T12:28:26"/>
  </r>
  <r>
    <s v="TRX0013"/>
    <x v="151"/>
    <x v="5"/>
    <s v="Dorothy Nelson"/>
    <s v="P001"/>
    <x v="4"/>
    <x v="0"/>
    <n v="3"/>
    <n v="899.99"/>
    <x v="2"/>
    <x v="2"/>
    <x v="0"/>
    <d v="2023-02-18T00:00:00"/>
    <n v="2699.97"/>
    <n v="46276"/>
    <n v="126"/>
    <d v="1900-01-30T00:00:00"/>
    <d v="2026-09-11T12:28:26"/>
  </r>
  <r>
    <s v="TRX0019"/>
    <x v="152"/>
    <x v="0"/>
    <s v="Paul Baker"/>
    <s v="P007"/>
    <x v="6"/>
    <x v="2"/>
    <n v="3"/>
    <n v="299.99"/>
    <x v="1"/>
    <x v="3"/>
    <x v="1"/>
    <d v="2023-11-04T00:00:00"/>
    <n v="899.97"/>
    <n v="46276"/>
    <n v="126"/>
    <d v="1900-01-30T00:00:00"/>
    <d v="2026-09-11T12:28:26"/>
  </r>
  <r>
    <s v="TRX0050"/>
    <x v="153"/>
    <x v="49"/>
    <s v="John Smith"/>
    <s v="P008"/>
    <x v="2"/>
    <x v="2"/>
    <n v="4"/>
    <n v="149.99"/>
    <x v="2"/>
    <x v="3"/>
    <x v="2"/>
    <d v="2021-12-30T00:00:00"/>
    <n v="599.96"/>
    <n v="46276"/>
    <n v="126"/>
    <d v="1900-01-30T00:00:00"/>
    <d v="2026-09-11T12:28:26"/>
  </r>
  <r>
    <s v="TRX0152"/>
    <x v="154"/>
    <x v="19"/>
    <s v="Cynthia Price"/>
    <s v="P004"/>
    <x v="7"/>
    <x v="1"/>
    <n v="4"/>
    <n v="79.989999999999995"/>
    <x v="1"/>
    <x v="0"/>
    <x v="0"/>
    <d v="2023-12-28T00:00:00"/>
    <n v="319.95999999999998"/>
    <n v="46276"/>
    <n v="126"/>
    <d v="1900-01-30T00:00:00"/>
    <d v="2026-09-11T12:28:26"/>
  </r>
  <r>
    <s v="TRX0213"/>
    <x v="155"/>
    <x v="36"/>
    <s v="Margaret Wright"/>
    <s v="P010"/>
    <x v="8"/>
    <x v="0"/>
    <n v="5"/>
    <n v="89.99"/>
    <x v="2"/>
    <x v="1"/>
    <x v="0"/>
    <d v="2022-05-23T00:00:00"/>
    <n v="449.95"/>
    <n v="46276"/>
    <n v="126"/>
    <d v="1900-01-30T00:00:00"/>
    <d v="2026-09-11T12:28:26"/>
  </r>
  <r>
    <s v="TRX0197"/>
    <x v="156"/>
    <x v="16"/>
    <s v="Virginia Sanders"/>
    <s v="P008"/>
    <x v="2"/>
    <x v="2"/>
    <n v="3"/>
    <n v="149.99"/>
    <x v="2"/>
    <x v="0"/>
    <x v="2"/>
    <d v="2023-09-02T00:00:00"/>
    <n v="449.97"/>
    <n v="46276"/>
    <n v="126"/>
    <d v="1900-01-30T00:00:00"/>
    <d v="2026-09-11T12:28:26"/>
  </r>
  <r>
    <s v="TRX0250"/>
    <x v="156"/>
    <x v="8"/>
    <s v="Karen Hill"/>
    <s v="P010"/>
    <x v="8"/>
    <x v="0"/>
    <n v="2"/>
    <n v="89.99"/>
    <x v="3"/>
    <x v="3"/>
    <x v="1"/>
    <d v="2021-11-22T00:00:00"/>
    <n v="179.98"/>
    <n v="46276"/>
    <n v="126"/>
    <d v="1900-01-30T00:00:00"/>
    <d v="2026-09-11T12:28:26"/>
  </r>
  <r>
    <s v="TRX0068"/>
    <x v="157"/>
    <x v="19"/>
    <s v="Cynthia Price"/>
    <s v="P002"/>
    <x v="5"/>
    <x v="0"/>
    <n v="2"/>
    <n v="699.99"/>
    <x v="2"/>
    <x v="2"/>
    <x v="2"/>
    <d v="2022-02-26T00:00:00"/>
    <n v="1399.98"/>
    <n v="46276"/>
    <n v="126"/>
    <d v="1900-01-30T00:00:00"/>
    <d v="2026-09-11T12:28:26"/>
  </r>
  <r>
    <s v="TRX0144"/>
    <x v="158"/>
    <x v="23"/>
    <s v="Edward Mitchell"/>
    <s v="P001"/>
    <x v="4"/>
    <x v="0"/>
    <n v="3"/>
    <n v="899.99"/>
    <x v="0"/>
    <x v="0"/>
    <x v="2"/>
    <d v="2023-01-27T00:00:00"/>
    <n v="2699.97"/>
    <n v="46276"/>
    <n v="126"/>
    <d v="1900-01-30T00:00:00"/>
    <d v="2026-09-11T12:28:26"/>
  </r>
  <r>
    <s v="TRX0039"/>
    <x v="159"/>
    <x v="16"/>
    <s v="Virginia Sanders"/>
    <s v="P004"/>
    <x v="7"/>
    <x v="1"/>
    <n v="3"/>
    <n v="79.989999999999995"/>
    <x v="1"/>
    <x v="2"/>
    <x v="0"/>
    <d v="2021-11-11T00:00:00"/>
    <n v="239.97"/>
    <n v="46276"/>
    <n v="126"/>
    <d v="1900-01-30T00:00:00"/>
    <d v="2026-09-11T12:28:26"/>
  </r>
  <r>
    <s v="TRX0116"/>
    <x v="160"/>
    <x v="7"/>
    <s v="Robert Thomas"/>
    <s v="P010"/>
    <x v="8"/>
    <x v="0"/>
    <n v="1"/>
    <n v="89.99"/>
    <x v="3"/>
    <x v="4"/>
    <x v="0"/>
    <d v="2024-02-24T00:00:00"/>
    <n v="89.99"/>
    <n v="46276"/>
    <n v="126"/>
    <d v="1900-01-30T00:00:00"/>
    <d v="2026-09-11T12:28:26"/>
  </r>
  <r>
    <s v="TRX0120"/>
    <x v="161"/>
    <x v="46"/>
    <s v="Douglas Watson"/>
    <s v="P002"/>
    <x v="5"/>
    <x v="0"/>
    <n v="3"/>
    <n v="699.99"/>
    <x v="2"/>
    <x v="2"/>
    <x v="0"/>
    <d v="2022-12-14T00:00:00"/>
    <n v="2099.9699999999998"/>
    <n v="46276"/>
    <n v="126"/>
    <d v="1900-01-30T00:00:00"/>
    <d v="2026-09-11T12:28:26"/>
  </r>
  <r>
    <s v="TRX0103"/>
    <x v="161"/>
    <x v="40"/>
    <s v="Lawrence Reed"/>
    <s v="P010"/>
    <x v="8"/>
    <x v="0"/>
    <n v="2"/>
    <n v="89.99"/>
    <x v="3"/>
    <x v="4"/>
    <x v="0"/>
    <d v="2023-06-11T00:00:00"/>
    <n v="179.98"/>
    <n v="46276"/>
    <n v="126"/>
    <d v="1900-01-30T00:00:00"/>
    <d v="2026-09-11T12:28:26"/>
  </r>
  <r>
    <s v="TRX0064"/>
    <x v="161"/>
    <x v="26"/>
    <s v="Steven Turner"/>
    <s v="P010"/>
    <x v="8"/>
    <x v="0"/>
    <n v="3"/>
    <n v="89.99"/>
    <x v="3"/>
    <x v="2"/>
    <x v="1"/>
    <d v="2022-11-13T00:00:00"/>
    <n v="269.97000000000003"/>
    <n v="46276"/>
    <n v="126"/>
    <d v="1900-01-30T00:00:00"/>
    <d v="2026-09-11T12:28: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D13DB8-7F7D-4220-A615-CB6F6DD73758}"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9:E11" firstHeaderRow="1" firstDataRow="1" firstDataCol="1"/>
  <pivotFields count="21">
    <pivotField showAll="0"/>
    <pivotField axis="axisRow"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h="1" x="6"/>
        <item h="1" x="3"/>
        <item h="1" x="8"/>
        <item h="1" x="4"/>
        <item x="0"/>
        <item h="1" x="9"/>
        <item h="1" x="5"/>
        <item t="default"/>
      </items>
    </pivotField>
    <pivotField showAll="0">
      <items count="4">
        <item h="1" x="1"/>
        <item x="0"/>
        <item h="1" x="2"/>
        <item t="default"/>
      </items>
    </pivotField>
    <pivotField showAll="0"/>
    <pivotField showAll="0"/>
    <pivotField showAll="0"/>
    <pivotField showAll="0">
      <items count="6">
        <item h="1" x="0"/>
        <item h="1" x="4"/>
        <item x="2"/>
        <item h="1" x="1"/>
        <item h="1" x="3"/>
        <item t="default"/>
      </items>
    </pivotField>
    <pivotField showAll="0"/>
    <pivotField numFmtId="14" showAll="0"/>
    <pivotField dataField="1" showAll="0"/>
    <pivotField showAll="0"/>
    <pivotField showAll="0"/>
    <pivotField numFmtId="14" showAll="0"/>
    <pivotField numFmtId="22" showAll="0"/>
    <pivotField axis="axisRow" showAll="0" defaultSubtotal="0">
      <items count="14">
        <item h="1" sd="0" x="0"/>
        <item h="1" sd="0" x="1"/>
        <item h="1" sd="0" x="2"/>
        <item h="1" sd="0" x="3"/>
        <item sd="0" x="4"/>
        <item h="1" sd="0" x="5"/>
        <item h="1" sd="0" x="6"/>
        <item h="1" sd="0" x="7"/>
        <item h="1" sd="0" x="8"/>
        <item h="1" sd="0" x="9"/>
        <item h="1" sd="0" x="10"/>
        <item h="1" sd="0" x="11"/>
        <item h="1" sd="0" x="12"/>
        <item h="1"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20"/>
    <field x="19"/>
    <field x="18"/>
    <field x="1"/>
  </rowFields>
  <rowItems count="2">
    <i>
      <x v="1"/>
    </i>
    <i t="grand">
      <x/>
    </i>
  </rowItems>
  <colItems count="1">
    <i/>
  </colItems>
  <dataFields count="1">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DAFC6-F32F-41B1-88CD-9B1419348668}"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ustomer Segment">
  <location ref="A15:B17"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h="1" x="6"/>
        <item h="1" x="3"/>
        <item h="1" x="8"/>
        <item h="1" x="4"/>
        <item x="0"/>
        <item h="1" x="9"/>
        <item h="1" x="5"/>
        <item t="default"/>
      </items>
    </pivotField>
    <pivotField showAll="0">
      <items count="4">
        <item h="1" x="1"/>
        <item x="0"/>
        <item h="1" x="2"/>
        <item t="default"/>
      </items>
    </pivotField>
    <pivotField showAll="0"/>
    <pivotField showAll="0"/>
    <pivotField showAll="0"/>
    <pivotField showAll="0">
      <items count="6">
        <item h="1" x="0"/>
        <item h="1" x="4"/>
        <item x="2"/>
        <item h="1" x="1"/>
        <item h="1" x="3"/>
        <item t="default"/>
      </items>
    </pivotField>
    <pivotField axis="axisRow" showAll="0">
      <items count="4">
        <item x="0"/>
        <item x="1"/>
        <item x="2"/>
        <item t="default"/>
      </items>
    </pivotField>
    <pivotField numFmtId="14" showAll="0"/>
    <pivotField dataField="1" showAll="0"/>
    <pivotField showAll="0"/>
    <pivotField showAll="0"/>
    <pivotField numFmtId="14" showAll="0"/>
    <pivotField numFmtId="22" showAll="0"/>
    <pivotField showAll="0" defaultSubtotal="0">
      <items count="14">
        <item h="1" x="0"/>
        <item h="1" x="1"/>
        <item h="1" x="2"/>
        <item h="1" x="3"/>
        <item x="4"/>
        <item h="1" x="5"/>
        <item h="1" x="6"/>
        <item h="1" x="7"/>
        <item h="1" x="8"/>
        <item h="1" x="9"/>
        <item h="1" x="10"/>
        <item h="1" x="11"/>
        <item h="1" x="12"/>
        <item h="1" x="13"/>
      </items>
    </pivotField>
    <pivotField showAll="0" defaultSubtotal="0"/>
    <pivotField showAll="0" defaultSubtotal="0">
      <items count="4">
        <item x="0"/>
        <item x="1"/>
        <item x="2"/>
        <item x="3"/>
      </items>
    </pivotField>
  </pivotFields>
  <rowFields count="1">
    <field x="11"/>
  </rowFields>
  <rowItems count="2">
    <i>
      <x v="1"/>
    </i>
    <i t="grand">
      <x/>
    </i>
  </rowItems>
  <colItems count="1">
    <i/>
  </colItems>
  <dataFields count="1">
    <dataField name="Sum of Total_Amount" fld="13" baseField="11" baseItem="0"/>
  </dataFields>
  <formats count="12">
    <format dxfId="11">
      <pivotArea type="all" dataOnly="0" outline="0" fieldPosition="0"/>
    </format>
    <format dxfId="10">
      <pivotArea outline="0" collapsedLevelsAreSubtotals="1" fieldPosition="0"/>
    </format>
    <format dxfId="9">
      <pivotArea field="11" type="button" dataOnly="0" labelOnly="1" outline="0" axis="axisRow" fieldPosition="0"/>
    </format>
    <format dxfId="8">
      <pivotArea dataOnly="0" labelOnly="1" fieldPosition="0">
        <references count="1">
          <reference field="1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1" type="button" dataOnly="0" labelOnly="1" outline="0" axis="axisRow" fieldPosition="0"/>
    </format>
    <format dxfId="2">
      <pivotArea dataOnly="0" labelOnly="1" fieldPosition="0">
        <references count="1">
          <reference field="11"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811AD-FCFF-42BB-AF6E-190F4301F4D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rowHeaderCaption="Month">
  <location ref="H1:I3"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h="1" x="6"/>
        <item h="1" x="3"/>
        <item h="1" x="8"/>
        <item h="1" x="4"/>
        <item x="0"/>
        <item h="1" x="9"/>
        <item h="1" x="5"/>
        <item t="default"/>
      </items>
    </pivotField>
    <pivotField showAll="0">
      <items count="4">
        <item h="1" x="1"/>
        <item x="0"/>
        <item h="1" x="2"/>
        <item t="default"/>
      </items>
    </pivotField>
    <pivotField showAll="0"/>
    <pivotField showAll="0"/>
    <pivotField showAll="0"/>
    <pivotField showAll="0">
      <items count="6">
        <item h="1" x="0"/>
        <item h="1" x="4"/>
        <item x="2"/>
        <item h="1" x="1"/>
        <item h="1" x="3"/>
        <item t="default"/>
      </items>
    </pivotField>
    <pivotField showAll="0"/>
    <pivotField numFmtId="14" showAll="0"/>
    <pivotField dataField="1" showAll="0"/>
    <pivotField showAll="0"/>
    <pivotField showAll="0"/>
    <pivotField numFmtId="14" showAll="0"/>
    <pivotField numFmtId="22" showAll="0"/>
    <pivotField axis="axisRow" showAll="0">
      <items count="15">
        <item h="1" sd="0" x="0"/>
        <item h="1" sd="0" x="1"/>
        <item h="1" sd="0" x="2"/>
        <item h="1" sd="0" x="3"/>
        <item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18"/>
    <field x="20"/>
  </rowFields>
  <rowItems count="2">
    <i>
      <x v="4"/>
    </i>
    <i t="grand">
      <x/>
    </i>
  </rowItems>
  <colItems count="1">
    <i/>
  </colItems>
  <dataFields count="1">
    <dataField name="Total Amount" fld="13" baseField="18" baseItem="1"/>
  </dataFields>
  <formats count="12">
    <format dxfId="23">
      <pivotArea type="all" dataOnly="0" outline="0" fieldPosition="0"/>
    </format>
    <format dxfId="22">
      <pivotArea outline="0" collapsedLevelsAreSubtotals="1" fieldPosition="0"/>
    </format>
    <format dxfId="21">
      <pivotArea field="18" type="button" dataOnly="0" labelOnly="1" outline="0" axis="axisRow" fieldPosition="0"/>
    </format>
    <format dxfId="20">
      <pivotArea dataOnly="0" labelOnly="1" fieldPosition="0">
        <references count="1">
          <reference field="18" count="12">
            <x v="1"/>
            <x v="2"/>
            <x v="3"/>
            <x v="4"/>
            <x v="5"/>
            <x v="6"/>
            <x v="7"/>
            <x v="8"/>
            <x v="9"/>
            <x v="10"/>
            <x v="11"/>
            <x v="12"/>
          </reference>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18" type="button" dataOnly="0" labelOnly="1" outline="0" axis="axisRow" fieldPosition="0"/>
    </format>
    <format dxfId="14">
      <pivotArea dataOnly="0" labelOnly="1" fieldPosition="0">
        <references count="1">
          <reference field="18" count="12">
            <x v="1"/>
            <x v="2"/>
            <x v="3"/>
            <x v="4"/>
            <x v="5"/>
            <x v="6"/>
            <x v="7"/>
            <x v="8"/>
            <x v="9"/>
            <x v="10"/>
            <x v="11"/>
            <x v="12"/>
          </reference>
        </references>
      </pivotArea>
    </format>
    <format dxfId="13">
      <pivotArea dataOnly="0" labelOnly="1" grandRow="1" outline="0" fieldPosition="0"/>
    </format>
    <format dxfId="12">
      <pivotArea dataOnly="0" labelOnly="1" outline="0" axis="axisValues" fieldPosition="0"/>
    </format>
  </format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F0AE9C-F7DE-48DC-90AA-46C75F4D6433}"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Product">
  <location ref="D1:F3" firstHeaderRow="0"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h="1" x="1"/>
        <item h="1" x="2"/>
        <item h="1" x="7"/>
        <item h="1" x="6"/>
        <item h="1" x="3"/>
        <item h="1" x="8"/>
        <item h="1" x="4"/>
        <item x="0"/>
        <item h="1" x="9"/>
        <item h="1" x="5"/>
        <item t="default"/>
      </items>
    </pivotField>
    <pivotField showAll="0">
      <items count="4">
        <item h="1" x="1"/>
        <item x="0"/>
        <item h="1" x="2"/>
        <item t="default"/>
      </items>
    </pivotField>
    <pivotField dataField="1" showAll="0"/>
    <pivotField showAll="0"/>
    <pivotField showAll="0"/>
    <pivotField showAll="0">
      <items count="6">
        <item h="1" x="0"/>
        <item h="1" x="4"/>
        <item x="2"/>
        <item h="1" x="1"/>
        <item h="1" x="3"/>
        <item t="default"/>
      </items>
    </pivotField>
    <pivotField showAll="0"/>
    <pivotField numFmtId="14" showAll="0"/>
    <pivotField dataField="1" showAll="0"/>
    <pivotField showAll="0"/>
    <pivotField showAll="0"/>
    <pivotField numFmtId="14" showAll="0"/>
    <pivotField numFmtId="22" showAll="0"/>
    <pivotField showAll="0">
      <items count="15">
        <item h="1" x="0"/>
        <item h="1" x="1"/>
        <item h="1" x="2"/>
        <item h="1" x="3"/>
        <item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
    <i>
      <x v="7"/>
    </i>
    <i t="grand">
      <x/>
    </i>
  </rowItems>
  <colFields count="1">
    <field x="-2"/>
  </colFields>
  <colItems count="2">
    <i>
      <x/>
    </i>
    <i i="1">
      <x v="1"/>
    </i>
  </colItems>
  <dataFields count="2">
    <dataField name="Sum of Quantity" fld="7" baseField="0" baseItem="0"/>
    <dataField name="Sum of Total_Amount" fld="13" baseField="0" baseItem="0"/>
  </dataFields>
  <formats count="12">
    <format dxfId="35">
      <pivotArea type="all" dataOnly="0" outline="0" fieldPosition="0"/>
    </format>
    <format dxfId="34">
      <pivotArea outline="0" collapsedLevelsAreSubtotals="1" fieldPosition="0"/>
    </format>
    <format dxfId="33">
      <pivotArea field="5" type="button" dataOnly="0" labelOnly="1" outline="0" axis="axisRow" fieldPosition="0"/>
    </format>
    <format dxfId="32">
      <pivotArea dataOnly="0" labelOnly="1" fieldPosition="0">
        <references count="1">
          <reference field="5"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 dxfId="29">
      <pivotArea type="all" dataOnly="0" outline="0" fieldPosition="0"/>
    </format>
    <format dxfId="28">
      <pivotArea outline="0" collapsedLevelsAreSubtotals="1" fieldPosition="0"/>
    </format>
    <format dxfId="27">
      <pivotArea field="5" type="button" dataOnly="0" labelOnly="1" outline="0" axis="axisRow" fieldPosition="0"/>
    </format>
    <format dxfId="26">
      <pivotArea dataOnly="0" labelOnly="1" fieldPosition="0">
        <references count="1">
          <reference field="5"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A77493-DF36-48F0-B20C-828121330CE3}"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ategary">
  <location ref="A9:B11"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h="1" x="6"/>
        <item h="1" x="3"/>
        <item h="1" x="8"/>
        <item h="1" x="4"/>
        <item x="0"/>
        <item h="1" x="9"/>
        <item h="1" x="5"/>
        <item t="default"/>
      </items>
    </pivotField>
    <pivotField axis="axisRow" showAll="0">
      <items count="4">
        <item h="1" x="1"/>
        <item x="0"/>
        <item h="1" x="2"/>
        <item t="default"/>
      </items>
    </pivotField>
    <pivotField showAll="0"/>
    <pivotField showAll="0"/>
    <pivotField showAll="0"/>
    <pivotField showAll="0">
      <items count="6">
        <item h="1" x="0"/>
        <item h="1" x="4"/>
        <item x="2"/>
        <item h="1" x="1"/>
        <item h="1" x="3"/>
        <item t="default"/>
      </items>
    </pivotField>
    <pivotField showAll="0"/>
    <pivotField numFmtId="14" showAll="0"/>
    <pivotField dataField="1" showAll="0"/>
    <pivotField showAll="0"/>
    <pivotField showAll="0"/>
    <pivotField numFmtId="14" showAll="0"/>
    <pivotField numFmtId="22" showAll="0"/>
    <pivotField showAll="0">
      <items count="15">
        <item h="1" x="0"/>
        <item h="1" x="1"/>
        <item h="1" x="2"/>
        <item h="1" x="3"/>
        <item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
    <i>
      <x v="1"/>
    </i>
    <i t="grand">
      <x/>
    </i>
  </rowItems>
  <colItems count="1">
    <i/>
  </colItems>
  <dataFields count="1">
    <dataField name="Sum of Total_Amount" fld="13" baseField="0" baseItem="0"/>
  </dataFields>
  <formats count="12">
    <format dxfId="47">
      <pivotArea type="all" dataOnly="0" outline="0" fieldPosition="0"/>
    </format>
    <format dxfId="46">
      <pivotArea outline="0" collapsedLevelsAreSubtotals="1" fieldPosition="0"/>
    </format>
    <format dxfId="45">
      <pivotArea field="6" type="button" dataOnly="0" labelOnly="1" outline="0" axis="axisRow" fieldPosition="0"/>
    </format>
    <format dxfId="44">
      <pivotArea dataOnly="0" labelOnly="1" fieldPosition="0">
        <references count="1">
          <reference field="6"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outline="0" axis="axisValues" fieldPosition="0"/>
    </format>
  </format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2"/>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6" count="1" selected="0">
            <x v="0"/>
          </reference>
        </references>
      </pivotArea>
    </chartFormat>
    <chartFormat chart="7" format="15">
      <pivotArea type="data" outline="0" fieldPosition="0">
        <references count="2">
          <reference field="4294967294" count="1" selected="0">
            <x v="0"/>
          </reference>
          <reference field="6" count="1" selected="0">
            <x v="1"/>
          </reference>
        </references>
      </pivotArea>
    </chartFormat>
    <chartFormat chart="7"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5D38B7-107E-4B69-9B0A-003AAF6185D1}"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Region">
  <location ref="A1:B3" firstHeaderRow="1" firstDataRow="1" firstDataCol="1"/>
  <pivotFields count="21">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h="1" x="1"/>
        <item h="1" x="2"/>
        <item h="1" x="7"/>
        <item h="1" x="6"/>
        <item h="1" x="3"/>
        <item h="1" x="8"/>
        <item h="1" x="4"/>
        <item x="0"/>
        <item h="1" x="9"/>
        <item h="1" x="5"/>
        <item t="default"/>
      </items>
    </pivotField>
    <pivotField showAll="0">
      <items count="4">
        <item h="1" x="1"/>
        <item x="0"/>
        <item h="1" x="2"/>
        <item t="default"/>
      </items>
    </pivotField>
    <pivotField showAll="0"/>
    <pivotField showAll="0"/>
    <pivotField showAll="0"/>
    <pivotField axis="axisRow" showAll="0">
      <items count="6">
        <item h="1" x="0"/>
        <item h="1" x="4"/>
        <item x="2"/>
        <item h="1" x="1"/>
        <item h="1" x="3"/>
        <item t="default"/>
      </items>
    </pivotField>
    <pivotField showAll="0"/>
    <pivotField numFmtId="14" showAll="0"/>
    <pivotField dataField="1" showAll="0"/>
    <pivotField showAll="0"/>
    <pivotField showAll="0"/>
    <pivotField numFmtId="14" showAll="0"/>
    <pivotField numFmtId="22" showAll="0"/>
    <pivotField showAll="0">
      <items count="15">
        <item h="1" x="0"/>
        <item h="1" x="1"/>
        <item h="1" x="2"/>
        <item h="1" x="3"/>
        <item x="4"/>
        <item h="1" x="5"/>
        <item h="1" x="6"/>
        <item h="1" x="7"/>
        <item h="1" x="8"/>
        <item h="1" x="9"/>
        <item h="1" x="10"/>
        <item h="1" x="11"/>
        <item h="1"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2">
    <i>
      <x v="2"/>
    </i>
    <i t="grand">
      <x/>
    </i>
  </rowItems>
  <colItems count="1">
    <i/>
  </colItems>
  <dataFields count="1">
    <dataField name="Revenue" fld="13" baseField="10" baseItem="0"/>
  </dataFields>
  <formats count="12">
    <format dxfId="59">
      <pivotArea type="all" dataOnly="0" outline="0" fieldPosition="0"/>
    </format>
    <format dxfId="58">
      <pivotArea outline="0" collapsedLevelsAreSubtotals="1" fieldPosition="0"/>
    </format>
    <format dxfId="57">
      <pivotArea field="10" type="button" dataOnly="0" labelOnly="1" outline="0" axis="axisRow" fieldPosition="0"/>
    </format>
    <format dxfId="56">
      <pivotArea dataOnly="0" labelOnly="1" fieldPosition="0">
        <references count="1">
          <reference field="10"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10" type="button" dataOnly="0" labelOnly="1" outline="0" axis="axisRow" fieldPosition="0"/>
    </format>
    <format dxfId="50">
      <pivotArea dataOnly="0" labelOnly="1" fieldPosition="0">
        <references count="1">
          <reference field="10" count="0"/>
        </references>
      </pivotArea>
    </format>
    <format dxfId="49">
      <pivotArea dataOnly="0" labelOnly="1" grandRow="1" outline="0" fieldPosition="0"/>
    </format>
    <format dxfId="48">
      <pivotArea dataOnly="0" labelOnly="1" outline="0" axis="axisValues" fieldPosition="0"/>
    </format>
  </formats>
  <chartFormats count="3">
    <chartFormat chart="1"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5B14E0-6180-4589-AF97-A0F22F5E3DE4}" sourceName="Region">
  <pivotTables>
    <pivotTable tabId="5" name="PivotTable10"/>
    <pivotTable tabId="5" name="PivotTable11"/>
    <pivotTable tabId="5" name="PivotTable13"/>
    <pivotTable tabId="5" name="PivotTable14"/>
    <pivotTable tabId="5" name="PivotTable20"/>
    <pivotTable tabId="5" name="PivotTable22"/>
  </pivotTables>
  <data>
    <tabular pivotCacheId="1019169145">
      <items count="5">
        <i x="0"/>
        <i x="2" s="1"/>
        <i x="4" nd="1"/>
        <i x="1"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BF912B-932B-4933-B000-9845CF63C0FD}" sourceName="Category">
  <pivotTables>
    <pivotTable tabId="5" name="PivotTable11"/>
    <pivotTable tabId="5" name="PivotTable10"/>
    <pivotTable tabId="5" name="PivotTable13"/>
    <pivotTable tabId="5" name="PivotTable14"/>
    <pivotTable tabId="5" name="PivotTable20"/>
    <pivotTable tabId="5" name="PivotTable22"/>
  </pivotTables>
  <data>
    <tabular pivotCacheId="1019169145">
      <items count="3">
        <i x="0" s="1"/>
        <i x="1" nd="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DA4910B-C9AA-45E6-BBCA-0D3449E2BB3D}" sourceName="Product_Name">
  <pivotTables>
    <pivotTable tabId="5" name="PivotTable13"/>
    <pivotTable tabId="5" name="PivotTable10"/>
    <pivotTable tabId="5" name="PivotTable11"/>
    <pivotTable tabId="5" name="PivotTable14"/>
    <pivotTable tabId="5" name="PivotTable20"/>
    <pivotTable tabId="5" name="PivotTable22"/>
  </pivotTables>
  <data>
    <tabular pivotCacheId="1019169145">
      <items count="10">
        <i x="8"/>
        <i x="4"/>
        <i x="0" s="1"/>
        <i x="5"/>
        <i x="1" nd="1"/>
        <i x="2" nd="1"/>
        <i x="7" nd="1"/>
        <i x="6" nd="1"/>
        <i x="3" nd="1"/>
        <i x="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BCA0D46-7E3A-43EC-A2CE-2A760ECF711D}" sourceName="Months (Date)">
  <pivotTables>
    <pivotTable tabId="5" name="PivotTable14"/>
    <pivotTable tabId="5" name="PivotTable10"/>
    <pivotTable tabId="5" name="PivotTable11"/>
    <pivotTable tabId="5" name="PivotTable13"/>
    <pivotTable tabId="5" name="PivotTable20"/>
    <pivotTable tabId="5" name="PivotTable22"/>
  </pivotTables>
  <data>
    <tabular pivotCacheId="1019169145">
      <items count="14">
        <i x="1"/>
        <i x="3"/>
        <i x="4" s="1"/>
        <i x="5"/>
        <i x="7"/>
        <i x="8"/>
        <i x="9"/>
        <i x="11"/>
        <i x="2" nd="1"/>
        <i x="6" nd="1"/>
        <i x="10"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F5C6165-83CE-4CD3-A3D4-A3EC2ECF9756}" cache="Slicer_Region" caption="Region" rowHeight="273050"/>
  <slicer name="Category 1" xr10:uid="{075089CB-6F20-4C75-8B5F-3CDDA513A553}" cache="Slicer_Category" caption="Category" rowHeight="273050"/>
  <slicer name="Product_Name 1" xr10:uid="{ABA9851E-062E-41DC-B944-AD69C3C9D906}" cache="Slicer_Product_Name" caption="Product_Name" rowHeight="273050"/>
  <slicer name="Months (Date) 1" xr10:uid="{424AAF65-B7A1-47CB-B602-7228C79A6D6F}" cache="Slicer_Months__Date" caption="Months (Date)"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FAF888-0F49-429D-A3F2-70AC1FF2D4B6}" name="SalesData" displayName="SalesData" ref="A1:S251" totalsRowShown="0" headerRowDxfId="83" dataDxfId="81" headerRowBorderDxfId="82" tableBorderDxfId="80" totalsRowBorderDxfId="79">
  <autoFilter ref="A1:S251" xr:uid="{1FFAF888-0F49-429D-A3F2-70AC1FF2D4B6}"/>
  <tableColumns count="19">
    <tableColumn id="1" xr3:uid="{77636939-800F-4A8F-B91F-EA67A2A7E7D3}" name="Transaction_ID" dataDxfId="78"/>
    <tableColumn id="2" xr3:uid="{9A6D18E6-590C-4D02-A149-73F054145443}" name="Date" dataDxfId="77"/>
    <tableColumn id="3" xr3:uid="{4C12FF1B-7D07-466A-BD6C-DE2A06C3ABDA}" name="Customer_ID" dataDxfId="76"/>
    <tableColumn id="4" xr3:uid="{D720FD38-B0C0-4965-B125-9E7EF071D13E}" name="Customer_Name" dataDxfId="75"/>
    <tableColumn id="5" xr3:uid="{317ED8CD-5B56-4858-91B3-20C7AFD1019A}" name="Product_ID" dataDxfId="74"/>
    <tableColumn id="6" xr3:uid="{9A7F5783-56F7-498A-9662-C57675299AA3}" name="Product_Name" dataDxfId="73"/>
    <tableColumn id="7" xr3:uid="{F7B2865E-38C7-46EF-B3F7-023D1B5716AD}" name="Category" dataDxfId="72"/>
    <tableColumn id="8" xr3:uid="{62DC5608-CEC8-4ED6-B8EF-CEF803BCF44C}" name="Quantity" dataDxfId="71"/>
    <tableColumn id="9" xr3:uid="{3D446AF7-456A-4E1F-A28A-254D94700754}" name="Unit_Price" dataDxfId="70"/>
    <tableColumn id="10" xr3:uid="{41C58D15-482C-47DF-99AC-38B9E6ECB3EB}" name="Payment_Method" dataDxfId="69"/>
    <tableColumn id="11" xr3:uid="{231C9284-8895-462E-B37C-3ABD9BC2E0DA}" name="Region" dataDxfId="68"/>
    <tableColumn id="12" xr3:uid="{51DB43D9-F054-41BD-AA83-BF4C8908E824}" name="Customer_Segment" dataDxfId="67"/>
    <tableColumn id="13" xr3:uid="{9D133A79-0DFE-4A1D-A09E-81C1BA8F89CF}" name="Customer_Since" dataDxfId="66"/>
    <tableColumn id="14" xr3:uid="{C4081189-608C-440B-83C9-5899B8330A24}" name="Total_Amount" dataDxfId="65"/>
    <tableColumn id="15" xr3:uid="{744AAAEE-6174-45E1-BA81-7C80EE611D51}" name="Customer_Age_Days" dataDxfId="64">
      <calculatedColumnFormula>DATEDIF(M37,TODAY(),"d")</calculatedColumnFormula>
    </tableColumn>
    <tableColumn id="16" xr3:uid="{2D48EC68-FE23-4459-B683-F8FAFAAA5C8E}" name="Customer_Age_Years" dataDxfId="63">
      <calculatedColumnFormula>DATEDIF(M37,TODAY(),"y")</calculatedColumnFormula>
    </tableColumn>
    <tableColumn id="17" xr3:uid="{F5A82CE8-5FE1-4336-8AE2-861917AE1385}" name=" Month_End" dataDxfId="62">
      <calculatedColumnFormula>EOMONTH(B37,0)</calculatedColumnFormula>
    </tableColumn>
    <tableColumn id="18" xr3:uid="{8FB09DA6-72AC-4ABC-91F1-57E969041515}" name="Timestamp" dataDxfId="61">
      <calculatedColumnFormula>IF(R37="",NOW(),R37)</calculatedColumnFormula>
    </tableColumn>
    <tableColumn id="19" xr3:uid="{03F53FF5-F95B-4481-B816-CECC8D7CCB2F}" name="Customer_Abbreviation" dataDxfId="60">
      <calculatedColumnFormula>UPPER(LEFT(D37,1)&amp;LEFT(_xlfn.TEXTAFTER(D37,"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CAB34F9-7219-4F3E-9E0B-9530F74E8B36}" sourceName="Date">
  <pivotTables>
    <pivotTable tabId="5" name="PivotTable10"/>
    <pivotTable tabId="5" name="PivotTable11"/>
    <pivotTable tabId="5" name="PivotTable13"/>
    <pivotTable tabId="5" name="PivotTable14"/>
    <pivotTable tabId="5" name="PivotTable20"/>
    <pivotTable tabId="5" name="PivotTable22"/>
  </pivotTables>
  <state minimalRefreshVersion="6" lastRefreshVersion="6" pivotCacheId="1019169145" filterType="dateBetween">
    <selection startDate="2024-01-01T00:00:00" endDate="2025-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23AF9E9-9C43-499D-8ED1-722F5AD6995F}" cache="NativeTimeline_Date" caption="Date" level="0" selectionLevel="0"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7B864-ED41-418E-9022-4420AD4038B1}">
  <dimension ref="A1:S251"/>
  <sheetViews>
    <sheetView showGridLines="0" topLeftCell="C1" zoomScale="70" zoomScaleNormal="70" workbookViewId="0">
      <pane ySplit="1" topLeftCell="A219" activePane="bottomLeft" state="frozen"/>
      <selection pane="bottomLeft" activeCell="V23" sqref="V23:V24"/>
    </sheetView>
  </sheetViews>
  <sheetFormatPr defaultRowHeight="18"/>
  <cols>
    <col min="1" max="1" width="15.21875" customWidth="1"/>
    <col min="2" max="2" width="11" customWidth="1"/>
    <col min="3" max="3" width="13.77734375" customWidth="1"/>
    <col min="4" max="4" width="16.88671875" customWidth="1"/>
    <col min="5" max="5" width="12.109375" customWidth="1"/>
    <col min="6" max="6" width="15.21875" customWidth="1"/>
    <col min="7" max="7" width="10.33203125" customWidth="1"/>
    <col min="8" max="8" width="10.21875" customWidth="1"/>
    <col min="9" max="9" width="11.44140625" customWidth="1"/>
    <col min="10" max="10" width="17.88671875" customWidth="1"/>
    <col min="12" max="12" width="19.33203125" customWidth="1"/>
    <col min="13" max="13" width="16.21875" customWidth="1"/>
    <col min="14" max="14" width="14.6640625" customWidth="1"/>
    <col min="15" max="15" width="10.6640625" customWidth="1"/>
    <col min="16" max="16" width="11.109375" customWidth="1"/>
    <col min="17" max="17" width="11" customWidth="1"/>
    <col min="18" max="18" width="16.77734375" bestFit="1" customWidth="1"/>
    <col min="19" max="19" width="12" bestFit="1" customWidth="1"/>
  </cols>
  <sheetData>
    <row r="1" spans="1:19" ht="46.2" thickBot="1">
      <c r="A1" s="33" t="s">
        <v>0</v>
      </c>
      <c r="B1" s="34" t="s">
        <v>1</v>
      </c>
      <c r="C1" s="34" t="s">
        <v>2</v>
      </c>
      <c r="D1" s="34" t="s">
        <v>3</v>
      </c>
      <c r="E1" s="34" t="s">
        <v>4</v>
      </c>
      <c r="F1" s="34" t="s">
        <v>5</v>
      </c>
      <c r="G1" s="34" t="s">
        <v>6</v>
      </c>
      <c r="H1" s="34" t="s">
        <v>7</v>
      </c>
      <c r="I1" s="34" t="s">
        <v>8</v>
      </c>
      <c r="J1" s="34" t="s">
        <v>9</v>
      </c>
      <c r="K1" s="34" t="s">
        <v>10</v>
      </c>
      <c r="L1" s="34" t="s">
        <v>11</v>
      </c>
      <c r="M1" s="34" t="s">
        <v>12</v>
      </c>
      <c r="N1" s="35" t="s">
        <v>13</v>
      </c>
      <c r="O1" s="34" t="s">
        <v>410</v>
      </c>
      <c r="P1" s="34" t="s">
        <v>411</v>
      </c>
      <c r="Q1" s="34" t="s">
        <v>412</v>
      </c>
      <c r="R1" s="34" t="s">
        <v>413</v>
      </c>
      <c r="S1" s="34" t="s">
        <v>451</v>
      </c>
    </row>
    <row r="2" spans="1:19" ht="18.600000000000001" thickBot="1">
      <c r="A2" s="36" t="s">
        <v>14</v>
      </c>
      <c r="B2" s="37">
        <v>45393</v>
      </c>
      <c r="C2" s="38" t="s">
        <v>15</v>
      </c>
      <c r="D2" s="38" t="s">
        <v>16</v>
      </c>
      <c r="E2" s="38" t="s">
        <v>17</v>
      </c>
      <c r="F2" s="38" t="s">
        <v>18</v>
      </c>
      <c r="G2" s="38" t="s">
        <v>19</v>
      </c>
      <c r="H2" s="39">
        <v>3</v>
      </c>
      <c r="I2" s="39">
        <v>249.99</v>
      </c>
      <c r="J2" s="38" t="s">
        <v>20</v>
      </c>
      <c r="K2" s="38" t="s">
        <v>21</v>
      </c>
      <c r="L2" s="38" t="s">
        <v>22</v>
      </c>
      <c r="M2" s="37">
        <v>44425</v>
      </c>
      <c r="N2" s="40">
        <v>749.97</v>
      </c>
      <c r="O2" s="41">
        <f t="shared" ref="O2:O65" ca="1" si="0">DATEDIF(M37,TODAY(),"d")</f>
        <v>1230</v>
      </c>
      <c r="P2" s="41">
        <f t="shared" ref="P2:P65" ca="1" si="1">DATEDIF(M37,TODAY(),"y")</f>
        <v>3</v>
      </c>
      <c r="Q2" s="42">
        <f t="shared" ref="Q2:Q65" si="2">EOMONTH(B37,0)</f>
        <v>45443</v>
      </c>
      <c r="R2" s="43">
        <f t="shared" ref="R2:R65" ca="1" si="3">IF(R37="",NOW(),R37)</f>
        <v>46276.697382638886</v>
      </c>
      <c r="S2" s="44" t="str">
        <f t="shared" ref="S2:S65" si="4">UPPER(LEFT(D37,1)&amp;LEFT(_xlfn.TEXTAFTER(D37," "),1))</f>
        <v>LA</v>
      </c>
    </row>
    <row r="3" spans="1:19" ht="18.600000000000001" thickBot="1">
      <c r="A3" s="36" t="s">
        <v>23</v>
      </c>
      <c r="B3" s="37">
        <v>45396</v>
      </c>
      <c r="C3" s="38" t="s">
        <v>24</v>
      </c>
      <c r="D3" s="38" t="s">
        <v>25</v>
      </c>
      <c r="E3" s="38" t="s">
        <v>17</v>
      </c>
      <c r="F3" s="38" t="s">
        <v>18</v>
      </c>
      <c r="G3" s="38" t="s">
        <v>19</v>
      </c>
      <c r="H3" s="39">
        <v>3</v>
      </c>
      <c r="I3" s="39">
        <v>249.99</v>
      </c>
      <c r="J3" s="38" t="s">
        <v>26</v>
      </c>
      <c r="K3" s="38" t="s">
        <v>21</v>
      </c>
      <c r="L3" s="38" t="s">
        <v>27</v>
      </c>
      <c r="M3" s="37">
        <v>44575</v>
      </c>
      <c r="N3" s="40">
        <v>749.97</v>
      </c>
      <c r="O3" s="38">
        <f t="shared" ca="1" si="0"/>
        <v>984</v>
      </c>
      <c r="P3" s="44">
        <f t="shared" ca="1" si="1"/>
        <v>2</v>
      </c>
      <c r="Q3" s="45">
        <f t="shared" si="2"/>
        <v>45443</v>
      </c>
      <c r="R3" s="43">
        <f t="shared" ca="1" si="3"/>
        <v>46276.697382638886</v>
      </c>
      <c r="S3" s="44" t="str">
        <f t="shared" si="4"/>
        <v>ST</v>
      </c>
    </row>
    <row r="4" spans="1:19" ht="18.600000000000001" thickBot="1">
      <c r="A4" s="36" t="s">
        <v>28</v>
      </c>
      <c r="B4" s="37">
        <v>45399</v>
      </c>
      <c r="C4" s="38" t="s">
        <v>29</v>
      </c>
      <c r="D4" s="38" t="s">
        <v>30</v>
      </c>
      <c r="E4" s="38" t="s">
        <v>31</v>
      </c>
      <c r="F4" s="38" t="s">
        <v>32</v>
      </c>
      <c r="G4" s="38" t="s">
        <v>33</v>
      </c>
      <c r="H4" s="39">
        <v>3</v>
      </c>
      <c r="I4" s="39">
        <v>59.99</v>
      </c>
      <c r="J4" s="38" t="s">
        <v>34</v>
      </c>
      <c r="K4" s="38" t="s">
        <v>35</v>
      </c>
      <c r="L4" s="38" t="s">
        <v>36</v>
      </c>
      <c r="M4" s="37">
        <v>45262</v>
      </c>
      <c r="N4" s="40">
        <v>179.97</v>
      </c>
      <c r="O4" s="38">
        <f t="shared" ca="1" si="0"/>
        <v>1869</v>
      </c>
      <c r="P4" s="44">
        <f t="shared" ca="1" si="1"/>
        <v>5</v>
      </c>
      <c r="Q4" s="45">
        <f t="shared" si="2"/>
        <v>45443</v>
      </c>
      <c r="R4" s="43">
        <f t="shared" ca="1" si="3"/>
        <v>46276.697382638886</v>
      </c>
      <c r="S4" s="44" t="str">
        <f t="shared" si="4"/>
        <v>JT</v>
      </c>
    </row>
    <row r="5" spans="1:19" ht="18.600000000000001" thickBot="1">
      <c r="A5" s="36" t="s">
        <v>37</v>
      </c>
      <c r="B5" s="37">
        <v>45400</v>
      </c>
      <c r="C5" s="38" t="s">
        <v>38</v>
      </c>
      <c r="D5" s="38" t="s">
        <v>39</v>
      </c>
      <c r="E5" s="38" t="s">
        <v>31</v>
      </c>
      <c r="F5" s="38" t="s">
        <v>32</v>
      </c>
      <c r="G5" s="38" t="s">
        <v>33</v>
      </c>
      <c r="H5" s="39">
        <v>3</v>
      </c>
      <c r="I5" s="39">
        <v>59.99</v>
      </c>
      <c r="J5" s="38" t="s">
        <v>20</v>
      </c>
      <c r="K5" s="38" t="s">
        <v>40</v>
      </c>
      <c r="L5" s="38" t="s">
        <v>27</v>
      </c>
      <c r="M5" s="37">
        <v>45114</v>
      </c>
      <c r="N5" s="40">
        <v>179.97</v>
      </c>
      <c r="O5" s="38">
        <f t="shared" ca="1" si="0"/>
        <v>1156</v>
      </c>
      <c r="P5" s="44">
        <f t="shared" ca="1" si="1"/>
        <v>3</v>
      </c>
      <c r="Q5" s="45">
        <f t="shared" si="2"/>
        <v>45443</v>
      </c>
      <c r="R5" s="43">
        <f t="shared" ca="1" si="3"/>
        <v>46276.697382638886</v>
      </c>
      <c r="S5" s="44" t="str">
        <f t="shared" si="4"/>
        <v>HM</v>
      </c>
    </row>
    <row r="6" spans="1:19" ht="18.600000000000001" thickBot="1">
      <c r="A6" s="36" t="s">
        <v>41</v>
      </c>
      <c r="B6" s="37">
        <v>45400</v>
      </c>
      <c r="C6" s="38" t="s">
        <v>42</v>
      </c>
      <c r="D6" s="38" t="s">
        <v>43</v>
      </c>
      <c r="E6" s="38" t="s">
        <v>44</v>
      </c>
      <c r="F6" s="38" t="s">
        <v>45</v>
      </c>
      <c r="G6" s="38" t="s">
        <v>46</v>
      </c>
      <c r="H6" s="39">
        <v>5</v>
      </c>
      <c r="I6" s="39">
        <v>149.99</v>
      </c>
      <c r="J6" s="38" t="s">
        <v>26</v>
      </c>
      <c r="K6" s="38" t="s">
        <v>40</v>
      </c>
      <c r="L6" s="38" t="s">
        <v>27</v>
      </c>
      <c r="M6" s="37">
        <v>45295</v>
      </c>
      <c r="N6" s="40">
        <v>749.95</v>
      </c>
      <c r="O6" s="38">
        <f t="shared" ca="1" si="0"/>
        <v>1359</v>
      </c>
      <c r="P6" s="44">
        <f t="shared" ca="1" si="1"/>
        <v>3</v>
      </c>
      <c r="Q6" s="45">
        <f t="shared" si="2"/>
        <v>45443</v>
      </c>
      <c r="R6" s="43">
        <f t="shared" ca="1" si="3"/>
        <v>46276.697382638886</v>
      </c>
      <c r="S6" s="44" t="str">
        <f t="shared" si="4"/>
        <v>DK</v>
      </c>
    </row>
    <row r="7" spans="1:19" ht="18.600000000000001" thickBot="1">
      <c r="A7" s="36" t="s">
        <v>47</v>
      </c>
      <c r="B7" s="37">
        <v>45403</v>
      </c>
      <c r="C7" s="38" t="s">
        <v>48</v>
      </c>
      <c r="D7" s="38" t="s">
        <v>49</v>
      </c>
      <c r="E7" s="38" t="s">
        <v>31</v>
      </c>
      <c r="F7" s="38" t="s">
        <v>32</v>
      </c>
      <c r="G7" s="38" t="s">
        <v>33</v>
      </c>
      <c r="H7" s="39">
        <v>2</v>
      </c>
      <c r="I7" s="39">
        <v>59.99</v>
      </c>
      <c r="J7" s="38" t="s">
        <v>20</v>
      </c>
      <c r="K7" s="38" t="s">
        <v>50</v>
      </c>
      <c r="L7" s="38" t="s">
        <v>36</v>
      </c>
      <c r="M7" s="37">
        <v>44746</v>
      </c>
      <c r="N7" s="40">
        <v>119.98</v>
      </c>
      <c r="O7" s="38">
        <f t="shared" ca="1" si="0"/>
        <v>886</v>
      </c>
      <c r="P7" s="44">
        <f t="shared" ca="1" si="1"/>
        <v>2</v>
      </c>
      <c r="Q7" s="45">
        <f t="shared" si="2"/>
        <v>45473</v>
      </c>
      <c r="R7" s="43">
        <f t="shared" ca="1" si="3"/>
        <v>46276.697382638886</v>
      </c>
      <c r="S7" s="44" t="str">
        <f t="shared" si="4"/>
        <v>SB</v>
      </c>
    </row>
    <row r="8" spans="1:19" ht="18.600000000000001" thickBot="1">
      <c r="A8" s="36" t="s">
        <v>51</v>
      </c>
      <c r="B8" s="37">
        <v>45403</v>
      </c>
      <c r="C8" s="38" t="s">
        <v>48</v>
      </c>
      <c r="D8" s="38" t="s">
        <v>49</v>
      </c>
      <c r="E8" s="38" t="s">
        <v>52</v>
      </c>
      <c r="F8" s="38" t="s">
        <v>53</v>
      </c>
      <c r="G8" s="38" t="s">
        <v>19</v>
      </c>
      <c r="H8" s="39">
        <v>5</v>
      </c>
      <c r="I8" s="39">
        <v>149.99</v>
      </c>
      <c r="J8" s="38" t="s">
        <v>26</v>
      </c>
      <c r="K8" s="38" t="s">
        <v>21</v>
      </c>
      <c r="L8" s="38" t="s">
        <v>36</v>
      </c>
      <c r="M8" s="37">
        <v>44418</v>
      </c>
      <c r="N8" s="40">
        <v>749.95</v>
      </c>
      <c r="O8" s="38">
        <f t="shared" ca="1" si="0"/>
        <v>1135</v>
      </c>
      <c r="P8" s="44">
        <f t="shared" ca="1" si="1"/>
        <v>3</v>
      </c>
      <c r="Q8" s="45">
        <f t="shared" si="2"/>
        <v>45473</v>
      </c>
      <c r="R8" s="43">
        <f t="shared" ca="1" si="3"/>
        <v>46276.697382638886</v>
      </c>
      <c r="S8" s="44" t="str">
        <f t="shared" si="4"/>
        <v>CA</v>
      </c>
    </row>
    <row r="9" spans="1:19" ht="18.600000000000001" thickBot="1">
      <c r="A9" s="36" t="s">
        <v>54</v>
      </c>
      <c r="B9" s="37">
        <v>45403</v>
      </c>
      <c r="C9" s="38" t="s">
        <v>55</v>
      </c>
      <c r="D9" s="38" t="s">
        <v>56</v>
      </c>
      <c r="E9" s="38" t="s">
        <v>31</v>
      </c>
      <c r="F9" s="38" t="s">
        <v>32</v>
      </c>
      <c r="G9" s="38" t="s">
        <v>33</v>
      </c>
      <c r="H9" s="39">
        <v>3</v>
      </c>
      <c r="I9" s="39">
        <v>59.99</v>
      </c>
      <c r="J9" s="38" t="s">
        <v>57</v>
      </c>
      <c r="K9" s="38" t="s">
        <v>35</v>
      </c>
      <c r="L9" s="38" t="s">
        <v>22</v>
      </c>
      <c r="M9" s="37">
        <v>45007</v>
      </c>
      <c r="N9" s="40">
        <v>179.97</v>
      </c>
      <c r="O9" s="38">
        <f t="shared" ca="1" si="0"/>
        <v>1689</v>
      </c>
      <c r="P9" s="44">
        <f t="shared" ca="1" si="1"/>
        <v>4</v>
      </c>
      <c r="Q9" s="45">
        <f t="shared" si="2"/>
        <v>45473</v>
      </c>
      <c r="R9" s="43">
        <f t="shared" ca="1" si="3"/>
        <v>46276.697382638886</v>
      </c>
      <c r="S9" s="44" t="str">
        <f t="shared" si="4"/>
        <v>SD</v>
      </c>
    </row>
    <row r="10" spans="1:19" ht="18.600000000000001" thickBot="1">
      <c r="A10" s="36" t="s">
        <v>58</v>
      </c>
      <c r="B10" s="37">
        <v>45405</v>
      </c>
      <c r="C10" s="38" t="s">
        <v>59</v>
      </c>
      <c r="D10" s="38" t="s">
        <v>60</v>
      </c>
      <c r="E10" s="38" t="s">
        <v>61</v>
      </c>
      <c r="F10" s="38" t="s">
        <v>62</v>
      </c>
      <c r="G10" s="38" t="s">
        <v>19</v>
      </c>
      <c r="H10" s="39">
        <v>3</v>
      </c>
      <c r="I10" s="39">
        <v>899.99</v>
      </c>
      <c r="J10" s="38" t="s">
        <v>34</v>
      </c>
      <c r="K10" s="38" t="s">
        <v>63</v>
      </c>
      <c r="L10" s="38" t="s">
        <v>36</v>
      </c>
      <c r="M10" s="37">
        <v>45299</v>
      </c>
      <c r="N10" s="40">
        <v>2699.97</v>
      </c>
      <c r="O10" s="38">
        <f t="shared" ca="1" si="0"/>
        <v>1569</v>
      </c>
      <c r="P10" s="44">
        <f t="shared" ca="1" si="1"/>
        <v>4</v>
      </c>
      <c r="Q10" s="45">
        <f t="shared" si="2"/>
        <v>45473</v>
      </c>
      <c r="R10" s="43">
        <f t="shared" ca="1" si="3"/>
        <v>46276.697382638886</v>
      </c>
      <c r="S10" s="44" t="str">
        <f t="shared" si="4"/>
        <v>JJ</v>
      </c>
    </row>
    <row r="11" spans="1:19" ht="18.600000000000001" thickBot="1">
      <c r="A11" s="36" t="s">
        <v>64</v>
      </c>
      <c r="B11" s="37">
        <v>45408</v>
      </c>
      <c r="C11" s="38" t="s">
        <v>65</v>
      </c>
      <c r="D11" s="38" t="s">
        <v>66</v>
      </c>
      <c r="E11" s="38" t="s">
        <v>31</v>
      </c>
      <c r="F11" s="38" t="s">
        <v>32</v>
      </c>
      <c r="G11" s="38" t="s">
        <v>33</v>
      </c>
      <c r="H11" s="39">
        <v>3</v>
      </c>
      <c r="I11" s="39">
        <v>59.99</v>
      </c>
      <c r="J11" s="38" t="s">
        <v>20</v>
      </c>
      <c r="K11" s="38" t="s">
        <v>50</v>
      </c>
      <c r="L11" s="38" t="s">
        <v>27</v>
      </c>
      <c r="M11" s="37">
        <v>45207</v>
      </c>
      <c r="N11" s="40">
        <v>179.97</v>
      </c>
      <c r="O11" s="38">
        <f t="shared" ca="1" si="0"/>
        <v>1694</v>
      </c>
      <c r="P11" s="44">
        <f t="shared" ca="1" si="1"/>
        <v>4</v>
      </c>
      <c r="Q11" s="45">
        <f t="shared" si="2"/>
        <v>45473</v>
      </c>
      <c r="R11" s="43">
        <f t="shared" ca="1" si="3"/>
        <v>46276.697382638886</v>
      </c>
      <c r="S11" s="44" t="str">
        <f t="shared" si="4"/>
        <v>BC</v>
      </c>
    </row>
    <row r="12" spans="1:19" ht="18.600000000000001" thickBot="1">
      <c r="A12" s="36" t="s">
        <v>67</v>
      </c>
      <c r="B12" s="37">
        <v>45408</v>
      </c>
      <c r="C12" s="38" t="s">
        <v>68</v>
      </c>
      <c r="D12" s="38" t="s">
        <v>69</v>
      </c>
      <c r="E12" s="38" t="s">
        <v>44</v>
      </c>
      <c r="F12" s="38" t="s">
        <v>45</v>
      </c>
      <c r="G12" s="38" t="s">
        <v>46</v>
      </c>
      <c r="H12" s="39">
        <v>1</v>
      </c>
      <c r="I12" s="39">
        <v>149.99</v>
      </c>
      <c r="J12" s="38" t="s">
        <v>26</v>
      </c>
      <c r="K12" s="38" t="s">
        <v>50</v>
      </c>
      <c r="L12" s="38" t="s">
        <v>36</v>
      </c>
      <c r="M12" s="37">
        <v>45103</v>
      </c>
      <c r="N12" s="40">
        <v>149.99</v>
      </c>
      <c r="O12" s="38">
        <f t="shared" ca="1" si="0"/>
        <v>1631</v>
      </c>
      <c r="P12" s="44">
        <f t="shared" ca="1" si="1"/>
        <v>4</v>
      </c>
      <c r="Q12" s="45">
        <f t="shared" si="2"/>
        <v>45473</v>
      </c>
      <c r="R12" s="43">
        <f t="shared" ca="1" si="3"/>
        <v>46276.697382638886</v>
      </c>
      <c r="S12" s="44" t="str">
        <f t="shared" si="4"/>
        <v>MB</v>
      </c>
    </row>
    <row r="13" spans="1:19" ht="18.600000000000001" thickBot="1">
      <c r="A13" s="36" t="s">
        <v>70</v>
      </c>
      <c r="B13" s="37">
        <v>45408</v>
      </c>
      <c r="C13" s="38" t="s">
        <v>38</v>
      </c>
      <c r="D13" s="38" t="s">
        <v>39</v>
      </c>
      <c r="E13" s="38" t="s">
        <v>44</v>
      </c>
      <c r="F13" s="38" t="s">
        <v>45</v>
      </c>
      <c r="G13" s="38" t="s">
        <v>46</v>
      </c>
      <c r="H13" s="39">
        <v>5</v>
      </c>
      <c r="I13" s="39">
        <v>149.99</v>
      </c>
      <c r="J13" s="38" t="s">
        <v>57</v>
      </c>
      <c r="K13" s="38" t="s">
        <v>40</v>
      </c>
      <c r="L13" s="38" t="s">
        <v>22</v>
      </c>
      <c r="M13" s="37">
        <v>44830</v>
      </c>
      <c r="N13" s="40">
        <v>749.95</v>
      </c>
      <c r="O13" s="38">
        <f t="shared" ca="1" si="0"/>
        <v>1841</v>
      </c>
      <c r="P13" s="44">
        <f t="shared" ca="1" si="1"/>
        <v>5</v>
      </c>
      <c r="Q13" s="45">
        <f t="shared" si="2"/>
        <v>45473</v>
      </c>
      <c r="R13" s="43">
        <f t="shared" ca="1" si="3"/>
        <v>46276.697382638886</v>
      </c>
      <c r="S13" s="44" t="str">
        <f t="shared" si="4"/>
        <v>JF</v>
      </c>
    </row>
    <row r="14" spans="1:19" ht="18.600000000000001" thickBot="1">
      <c r="A14" s="36" t="s">
        <v>71</v>
      </c>
      <c r="B14" s="37">
        <v>45408</v>
      </c>
      <c r="C14" s="38" t="s">
        <v>72</v>
      </c>
      <c r="D14" s="38" t="s">
        <v>73</v>
      </c>
      <c r="E14" s="38" t="s">
        <v>44</v>
      </c>
      <c r="F14" s="38" t="s">
        <v>45</v>
      </c>
      <c r="G14" s="38" t="s">
        <v>46</v>
      </c>
      <c r="H14" s="39">
        <v>3</v>
      </c>
      <c r="I14" s="39">
        <v>149.99</v>
      </c>
      <c r="J14" s="38" t="s">
        <v>20</v>
      </c>
      <c r="K14" s="38" t="s">
        <v>40</v>
      </c>
      <c r="L14" s="38" t="s">
        <v>27</v>
      </c>
      <c r="M14" s="37">
        <v>44806</v>
      </c>
      <c r="N14" s="40">
        <v>449.97</v>
      </c>
      <c r="O14" s="38">
        <f t="shared" ca="1" si="0"/>
        <v>1697</v>
      </c>
      <c r="P14" s="44">
        <f t="shared" ca="1" si="1"/>
        <v>4</v>
      </c>
      <c r="Q14" s="45">
        <f t="shared" si="2"/>
        <v>45473</v>
      </c>
      <c r="R14" s="43">
        <f t="shared" ca="1" si="3"/>
        <v>46276.697382638886</v>
      </c>
      <c r="S14" s="44" t="str">
        <f t="shared" si="4"/>
        <v>LA</v>
      </c>
    </row>
    <row r="15" spans="1:19" ht="18.600000000000001" thickBot="1">
      <c r="A15" s="36" t="s">
        <v>74</v>
      </c>
      <c r="B15" s="37">
        <v>45409</v>
      </c>
      <c r="C15" s="38" t="s">
        <v>75</v>
      </c>
      <c r="D15" s="38" t="s">
        <v>76</v>
      </c>
      <c r="E15" s="38" t="s">
        <v>31</v>
      </c>
      <c r="F15" s="38" t="s">
        <v>32</v>
      </c>
      <c r="G15" s="38" t="s">
        <v>33</v>
      </c>
      <c r="H15" s="39">
        <v>3</v>
      </c>
      <c r="I15" s="39">
        <v>59.99</v>
      </c>
      <c r="J15" s="38" t="s">
        <v>26</v>
      </c>
      <c r="K15" s="38" t="s">
        <v>40</v>
      </c>
      <c r="L15" s="38" t="s">
        <v>36</v>
      </c>
      <c r="M15" s="37">
        <v>45351</v>
      </c>
      <c r="N15" s="40">
        <v>179.97</v>
      </c>
      <c r="O15" s="38">
        <f t="shared" ca="1" si="0"/>
        <v>1805</v>
      </c>
      <c r="P15" s="44">
        <f t="shared" ca="1" si="1"/>
        <v>4</v>
      </c>
      <c r="Q15" s="45">
        <f t="shared" si="2"/>
        <v>45473</v>
      </c>
      <c r="R15" s="43">
        <f t="shared" ca="1" si="3"/>
        <v>46276.697382638886</v>
      </c>
      <c r="S15" s="44" t="str">
        <f t="shared" si="4"/>
        <v>PM</v>
      </c>
    </row>
    <row r="16" spans="1:19" ht="18.600000000000001" thickBot="1">
      <c r="A16" s="36" t="s">
        <v>77</v>
      </c>
      <c r="B16" s="37">
        <v>45409</v>
      </c>
      <c r="C16" s="38" t="s">
        <v>78</v>
      </c>
      <c r="D16" s="38" t="s">
        <v>79</v>
      </c>
      <c r="E16" s="38" t="s">
        <v>80</v>
      </c>
      <c r="F16" s="38" t="s">
        <v>81</v>
      </c>
      <c r="G16" s="38" t="s">
        <v>19</v>
      </c>
      <c r="H16" s="39">
        <v>3</v>
      </c>
      <c r="I16" s="39">
        <v>699.99</v>
      </c>
      <c r="J16" s="38" t="s">
        <v>26</v>
      </c>
      <c r="K16" s="38" t="s">
        <v>50</v>
      </c>
      <c r="L16" s="38" t="s">
        <v>22</v>
      </c>
      <c r="M16" s="37">
        <v>44577</v>
      </c>
      <c r="N16" s="40">
        <v>2099.9699999999998</v>
      </c>
      <c r="O16" s="38">
        <f t="shared" ca="1" si="0"/>
        <v>1302</v>
      </c>
      <c r="P16" s="44">
        <f t="shared" ca="1" si="1"/>
        <v>3</v>
      </c>
      <c r="Q16" s="45">
        <f t="shared" si="2"/>
        <v>45473</v>
      </c>
      <c r="R16" s="43">
        <f t="shared" ca="1" si="3"/>
        <v>46276.697382638886</v>
      </c>
      <c r="S16" s="44" t="str">
        <f t="shared" si="4"/>
        <v>PB</v>
      </c>
    </row>
    <row r="17" spans="1:19" ht="18.600000000000001" thickBot="1">
      <c r="A17" s="36" t="s">
        <v>82</v>
      </c>
      <c r="B17" s="37">
        <v>45409</v>
      </c>
      <c r="C17" s="38" t="s">
        <v>83</v>
      </c>
      <c r="D17" s="38" t="s">
        <v>84</v>
      </c>
      <c r="E17" s="38" t="s">
        <v>61</v>
      </c>
      <c r="F17" s="38" t="s">
        <v>62</v>
      </c>
      <c r="G17" s="38" t="s">
        <v>19</v>
      </c>
      <c r="H17" s="39">
        <v>1</v>
      </c>
      <c r="I17" s="39">
        <v>899.99</v>
      </c>
      <c r="J17" s="38" t="s">
        <v>57</v>
      </c>
      <c r="K17" s="38" t="s">
        <v>40</v>
      </c>
      <c r="L17" s="38" t="s">
        <v>36</v>
      </c>
      <c r="M17" s="37">
        <v>44920</v>
      </c>
      <c r="N17" s="40">
        <v>899.99</v>
      </c>
      <c r="O17" s="38">
        <f t="shared" ca="1" si="0"/>
        <v>998</v>
      </c>
      <c r="P17" s="44">
        <f t="shared" ca="1" si="1"/>
        <v>2</v>
      </c>
      <c r="Q17" s="45">
        <f t="shared" si="2"/>
        <v>45473</v>
      </c>
      <c r="R17" s="43">
        <f t="shared" ca="1" si="3"/>
        <v>46276.697382638886</v>
      </c>
      <c r="S17" s="44" t="str">
        <f t="shared" si="4"/>
        <v>EM</v>
      </c>
    </row>
    <row r="18" spans="1:19" ht="18.600000000000001" thickBot="1">
      <c r="A18" s="36" t="s">
        <v>85</v>
      </c>
      <c r="B18" s="37">
        <v>45410</v>
      </c>
      <c r="C18" s="38" t="s">
        <v>86</v>
      </c>
      <c r="D18" s="38" t="s">
        <v>87</v>
      </c>
      <c r="E18" s="38" t="s">
        <v>44</v>
      </c>
      <c r="F18" s="38" t="s">
        <v>45</v>
      </c>
      <c r="G18" s="38" t="s">
        <v>46</v>
      </c>
      <c r="H18" s="39">
        <v>4</v>
      </c>
      <c r="I18" s="39">
        <v>149.99</v>
      </c>
      <c r="J18" s="38" t="s">
        <v>57</v>
      </c>
      <c r="K18" s="38" t="s">
        <v>40</v>
      </c>
      <c r="L18" s="38" t="s">
        <v>27</v>
      </c>
      <c r="M18" s="37">
        <v>45374</v>
      </c>
      <c r="N18" s="40">
        <v>599.96</v>
      </c>
      <c r="O18" s="38">
        <f t="shared" ca="1" si="0"/>
        <v>1086</v>
      </c>
      <c r="P18" s="44">
        <f t="shared" ca="1" si="1"/>
        <v>2</v>
      </c>
      <c r="Q18" s="45">
        <f t="shared" si="2"/>
        <v>45473</v>
      </c>
      <c r="R18" s="43">
        <f t="shared" ca="1" si="3"/>
        <v>46276.697382638886</v>
      </c>
      <c r="S18" s="44" t="str">
        <f t="shared" si="4"/>
        <v>BC</v>
      </c>
    </row>
    <row r="19" spans="1:19" ht="18.600000000000001" thickBot="1">
      <c r="A19" s="36" t="s">
        <v>88</v>
      </c>
      <c r="B19" s="37">
        <v>45410</v>
      </c>
      <c r="C19" s="38" t="s">
        <v>89</v>
      </c>
      <c r="D19" s="38" t="s">
        <v>90</v>
      </c>
      <c r="E19" s="38" t="s">
        <v>80</v>
      </c>
      <c r="F19" s="38" t="s">
        <v>81</v>
      </c>
      <c r="G19" s="38" t="s">
        <v>19</v>
      </c>
      <c r="H19" s="39">
        <v>2</v>
      </c>
      <c r="I19" s="39">
        <v>699.99</v>
      </c>
      <c r="J19" s="38" t="s">
        <v>20</v>
      </c>
      <c r="K19" s="38" t="s">
        <v>40</v>
      </c>
      <c r="L19" s="38" t="s">
        <v>22</v>
      </c>
      <c r="M19" s="37">
        <v>44781</v>
      </c>
      <c r="N19" s="40">
        <v>1399.98</v>
      </c>
      <c r="O19" s="38">
        <f t="shared" ca="1" si="0"/>
        <v>1023</v>
      </c>
      <c r="P19" s="44">
        <f t="shared" ca="1" si="1"/>
        <v>2</v>
      </c>
      <c r="Q19" s="45">
        <f t="shared" si="2"/>
        <v>45473</v>
      </c>
      <c r="R19" s="43">
        <f t="shared" ca="1" si="3"/>
        <v>46276.697382638886</v>
      </c>
      <c r="S19" s="44" t="str">
        <f t="shared" si="4"/>
        <v>JT</v>
      </c>
    </row>
    <row r="20" spans="1:19" ht="18.600000000000001" thickBot="1">
      <c r="A20" s="36" t="s">
        <v>91</v>
      </c>
      <c r="B20" s="37">
        <v>45410</v>
      </c>
      <c r="C20" s="38" t="s">
        <v>86</v>
      </c>
      <c r="D20" s="38" t="s">
        <v>87</v>
      </c>
      <c r="E20" s="38" t="s">
        <v>61</v>
      </c>
      <c r="F20" s="38" t="s">
        <v>62</v>
      </c>
      <c r="G20" s="38" t="s">
        <v>19</v>
      </c>
      <c r="H20" s="39">
        <v>4</v>
      </c>
      <c r="I20" s="39">
        <v>899.99</v>
      </c>
      <c r="J20" s="38" t="s">
        <v>26</v>
      </c>
      <c r="K20" s="38" t="s">
        <v>50</v>
      </c>
      <c r="L20" s="38" t="s">
        <v>36</v>
      </c>
      <c r="M20" s="37">
        <v>45327</v>
      </c>
      <c r="N20" s="40">
        <v>3599.96</v>
      </c>
      <c r="O20" s="38">
        <f t="shared" ca="1" si="0"/>
        <v>995</v>
      </c>
      <c r="P20" s="44">
        <f t="shared" ca="1" si="1"/>
        <v>2</v>
      </c>
      <c r="Q20" s="45">
        <f t="shared" si="2"/>
        <v>45473</v>
      </c>
      <c r="R20" s="43">
        <f t="shared" ca="1" si="3"/>
        <v>46276.697382638886</v>
      </c>
      <c r="S20" s="44" t="str">
        <f t="shared" si="4"/>
        <v>RR</v>
      </c>
    </row>
    <row r="21" spans="1:19" ht="18.600000000000001" thickBot="1">
      <c r="A21" s="36" t="s">
        <v>92</v>
      </c>
      <c r="B21" s="37">
        <v>45410</v>
      </c>
      <c r="C21" s="38" t="s">
        <v>93</v>
      </c>
      <c r="D21" s="38" t="s">
        <v>94</v>
      </c>
      <c r="E21" s="38" t="s">
        <v>17</v>
      </c>
      <c r="F21" s="38" t="s">
        <v>18</v>
      </c>
      <c r="G21" s="38" t="s">
        <v>19</v>
      </c>
      <c r="H21" s="39">
        <v>3</v>
      </c>
      <c r="I21" s="39">
        <v>249.99</v>
      </c>
      <c r="J21" s="38" t="s">
        <v>26</v>
      </c>
      <c r="K21" s="38" t="s">
        <v>40</v>
      </c>
      <c r="L21" s="38" t="s">
        <v>27</v>
      </c>
      <c r="M21" s="37">
        <v>45224</v>
      </c>
      <c r="N21" s="40">
        <v>749.97</v>
      </c>
      <c r="O21" s="38">
        <f t="shared" ca="1" si="0"/>
        <v>924</v>
      </c>
      <c r="P21" s="44">
        <f t="shared" ca="1" si="1"/>
        <v>2</v>
      </c>
      <c r="Q21" s="45">
        <f t="shared" si="2"/>
        <v>45473</v>
      </c>
      <c r="R21" s="43">
        <f t="shared" ca="1" si="3"/>
        <v>46276.697382638886</v>
      </c>
      <c r="S21" s="44" t="str">
        <f t="shared" si="4"/>
        <v>KS</v>
      </c>
    </row>
    <row r="22" spans="1:19" ht="18.600000000000001" thickBot="1">
      <c r="A22" s="36" t="s">
        <v>95</v>
      </c>
      <c r="B22" s="37">
        <v>45412</v>
      </c>
      <c r="C22" s="38" t="s">
        <v>96</v>
      </c>
      <c r="D22" s="38" t="s">
        <v>97</v>
      </c>
      <c r="E22" s="38" t="s">
        <v>80</v>
      </c>
      <c r="F22" s="38" t="s">
        <v>81</v>
      </c>
      <c r="G22" s="38" t="s">
        <v>19</v>
      </c>
      <c r="H22" s="39">
        <v>5</v>
      </c>
      <c r="I22" s="39">
        <v>699.99</v>
      </c>
      <c r="J22" s="38" t="s">
        <v>20</v>
      </c>
      <c r="K22" s="38" t="s">
        <v>50</v>
      </c>
      <c r="L22" s="38" t="s">
        <v>22</v>
      </c>
      <c r="M22" s="37">
        <v>45167</v>
      </c>
      <c r="N22" s="40">
        <v>3499.95</v>
      </c>
      <c r="O22" s="38">
        <f t="shared" ca="1" si="0"/>
        <v>1838</v>
      </c>
      <c r="P22" s="44">
        <f t="shared" ca="1" si="1"/>
        <v>5</v>
      </c>
      <c r="Q22" s="45">
        <f t="shared" si="2"/>
        <v>45473</v>
      </c>
      <c r="R22" s="43">
        <f t="shared" ca="1" si="3"/>
        <v>46276.697382638886</v>
      </c>
      <c r="S22" s="44" t="str">
        <f t="shared" si="4"/>
        <v>RT</v>
      </c>
    </row>
    <row r="23" spans="1:19" ht="18.600000000000001" thickBot="1">
      <c r="A23" s="36" t="s">
        <v>98</v>
      </c>
      <c r="B23" s="37">
        <v>45413</v>
      </c>
      <c r="C23" s="38" t="s">
        <v>99</v>
      </c>
      <c r="D23" s="38" t="s">
        <v>100</v>
      </c>
      <c r="E23" s="38" t="s">
        <v>80</v>
      </c>
      <c r="F23" s="38" t="s">
        <v>81</v>
      </c>
      <c r="G23" s="38" t="s">
        <v>19</v>
      </c>
      <c r="H23" s="39">
        <v>4</v>
      </c>
      <c r="I23" s="39">
        <v>699.99</v>
      </c>
      <c r="J23" s="38" t="s">
        <v>20</v>
      </c>
      <c r="K23" s="38" t="s">
        <v>63</v>
      </c>
      <c r="L23" s="38" t="s">
        <v>36</v>
      </c>
      <c r="M23" s="37">
        <v>44409</v>
      </c>
      <c r="N23" s="40">
        <v>2799.96</v>
      </c>
      <c r="O23" s="38">
        <f t="shared" ca="1" si="0"/>
        <v>1174</v>
      </c>
      <c r="P23" s="44">
        <f t="shared" ca="1" si="1"/>
        <v>3</v>
      </c>
      <c r="Q23" s="45">
        <f t="shared" si="2"/>
        <v>45473</v>
      </c>
      <c r="R23" s="43">
        <f t="shared" ca="1" si="3"/>
        <v>46276.697382638886</v>
      </c>
      <c r="S23" s="44" t="str">
        <f t="shared" si="4"/>
        <v>KB</v>
      </c>
    </row>
    <row r="24" spans="1:19" ht="18.600000000000001" thickBot="1">
      <c r="A24" s="36" t="s">
        <v>101</v>
      </c>
      <c r="B24" s="37">
        <v>45415</v>
      </c>
      <c r="C24" s="38" t="s">
        <v>102</v>
      </c>
      <c r="D24" s="38" t="s">
        <v>103</v>
      </c>
      <c r="E24" s="38" t="s">
        <v>17</v>
      </c>
      <c r="F24" s="38" t="s">
        <v>18</v>
      </c>
      <c r="G24" s="38" t="s">
        <v>19</v>
      </c>
      <c r="H24" s="39">
        <v>4</v>
      </c>
      <c r="I24" s="39">
        <v>249.99</v>
      </c>
      <c r="J24" s="38" t="s">
        <v>34</v>
      </c>
      <c r="K24" s="38" t="s">
        <v>40</v>
      </c>
      <c r="L24" s="38" t="s">
        <v>36</v>
      </c>
      <c r="M24" s="37">
        <v>44468</v>
      </c>
      <c r="N24" s="40">
        <v>999.96</v>
      </c>
      <c r="O24" s="38">
        <f t="shared" ca="1" si="0"/>
        <v>1283</v>
      </c>
      <c r="P24" s="44">
        <f t="shared" ca="1" si="1"/>
        <v>3</v>
      </c>
      <c r="Q24" s="45">
        <f t="shared" si="2"/>
        <v>45473</v>
      </c>
      <c r="R24" s="43">
        <f t="shared" ca="1" si="3"/>
        <v>46276.697382638886</v>
      </c>
      <c r="S24" s="44" t="str">
        <f t="shared" si="4"/>
        <v>PM</v>
      </c>
    </row>
    <row r="25" spans="1:19" ht="18.600000000000001" thickBot="1">
      <c r="A25" s="36" t="s">
        <v>104</v>
      </c>
      <c r="B25" s="37">
        <v>45416</v>
      </c>
      <c r="C25" s="38" t="s">
        <v>86</v>
      </c>
      <c r="D25" s="38" t="s">
        <v>87</v>
      </c>
      <c r="E25" s="38" t="s">
        <v>105</v>
      </c>
      <c r="F25" s="38" t="s">
        <v>106</v>
      </c>
      <c r="G25" s="38" t="s">
        <v>46</v>
      </c>
      <c r="H25" s="39">
        <v>4</v>
      </c>
      <c r="I25" s="39">
        <v>299.99</v>
      </c>
      <c r="J25" s="38" t="s">
        <v>20</v>
      </c>
      <c r="K25" s="38" t="s">
        <v>50</v>
      </c>
      <c r="L25" s="38" t="s">
        <v>27</v>
      </c>
      <c r="M25" s="37">
        <v>44716</v>
      </c>
      <c r="N25" s="40">
        <v>1199.96</v>
      </c>
      <c r="O25" s="38">
        <f t="shared" ca="1" si="0"/>
        <v>1425</v>
      </c>
      <c r="P25" s="44">
        <f t="shared" ca="1" si="1"/>
        <v>3</v>
      </c>
      <c r="Q25" s="45">
        <f t="shared" si="2"/>
        <v>45473</v>
      </c>
      <c r="R25" s="43">
        <f t="shared" ca="1" si="3"/>
        <v>46276.697382638886</v>
      </c>
      <c r="S25" s="44" t="str">
        <f t="shared" si="4"/>
        <v>HR</v>
      </c>
    </row>
    <row r="26" spans="1:19" ht="18.600000000000001" thickBot="1">
      <c r="A26" s="36" t="s">
        <v>107</v>
      </c>
      <c r="B26" s="37">
        <v>45422</v>
      </c>
      <c r="C26" s="38" t="s">
        <v>108</v>
      </c>
      <c r="D26" s="38" t="s">
        <v>109</v>
      </c>
      <c r="E26" s="38" t="s">
        <v>17</v>
      </c>
      <c r="F26" s="38" t="s">
        <v>18</v>
      </c>
      <c r="G26" s="38" t="s">
        <v>19</v>
      </c>
      <c r="H26" s="39">
        <v>5</v>
      </c>
      <c r="I26" s="39">
        <v>249.99</v>
      </c>
      <c r="J26" s="38" t="s">
        <v>26</v>
      </c>
      <c r="K26" s="38" t="s">
        <v>50</v>
      </c>
      <c r="L26" s="38" t="s">
        <v>36</v>
      </c>
      <c r="M26" s="37">
        <v>44525</v>
      </c>
      <c r="N26" s="40">
        <v>1249.95</v>
      </c>
      <c r="O26" s="38">
        <f t="shared" ca="1" si="0"/>
        <v>1001</v>
      </c>
      <c r="P26" s="44">
        <f t="shared" ca="1" si="1"/>
        <v>2</v>
      </c>
      <c r="Q26" s="45">
        <f t="shared" si="2"/>
        <v>45504</v>
      </c>
      <c r="R26" s="43">
        <f t="shared" ca="1" si="3"/>
        <v>46276.697382638886</v>
      </c>
      <c r="S26" s="44" t="str">
        <f t="shared" si="4"/>
        <v>EW</v>
      </c>
    </row>
    <row r="27" spans="1:19" ht="18.600000000000001" thickBot="1">
      <c r="A27" s="36" t="s">
        <v>110</v>
      </c>
      <c r="B27" s="37">
        <v>45424</v>
      </c>
      <c r="C27" s="38" t="s">
        <v>68</v>
      </c>
      <c r="D27" s="38" t="s">
        <v>69</v>
      </c>
      <c r="E27" s="38" t="s">
        <v>105</v>
      </c>
      <c r="F27" s="38" t="s">
        <v>106</v>
      </c>
      <c r="G27" s="38" t="s">
        <v>46</v>
      </c>
      <c r="H27" s="39">
        <v>5</v>
      </c>
      <c r="I27" s="39">
        <v>299.99</v>
      </c>
      <c r="J27" s="38" t="s">
        <v>34</v>
      </c>
      <c r="K27" s="38" t="s">
        <v>63</v>
      </c>
      <c r="L27" s="38" t="s">
        <v>22</v>
      </c>
      <c r="M27" s="37">
        <v>45168</v>
      </c>
      <c r="N27" s="40">
        <v>1499.95</v>
      </c>
      <c r="O27" s="38">
        <f t="shared" ca="1" si="0"/>
        <v>1474</v>
      </c>
      <c r="P27" s="44">
        <f t="shared" ca="1" si="1"/>
        <v>4</v>
      </c>
      <c r="Q27" s="45">
        <f t="shared" si="2"/>
        <v>45504</v>
      </c>
      <c r="R27" s="43">
        <f t="shared" ca="1" si="3"/>
        <v>46276.697382638886</v>
      </c>
      <c r="S27" s="44" t="str">
        <f t="shared" si="4"/>
        <v>CA</v>
      </c>
    </row>
    <row r="28" spans="1:19" ht="18.600000000000001" thickBot="1">
      <c r="A28" s="36" t="s">
        <v>111</v>
      </c>
      <c r="B28" s="37">
        <v>45424</v>
      </c>
      <c r="C28" s="38" t="s">
        <v>112</v>
      </c>
      <c r="D28" s="38" t="s">
        <v>113</v>
      </c>
      <c r="E28" s="38" t="s">
        <v>114</v>
      </c>
      <c r="F28" s="38" t="s">
        <v>115</v>
      </c>
      <c r="G28" s="38" t="s">
        <v>33</v>
      </c>
      <c r="H28" s="39">
        <v>3</v>
      </c>
      <c r="I28" s="39">
        <v>79.989999999999995</v>
      </c>
      <c r="J28" s="38" t="s">
        <v>34</v>
      </c>
      <c r="K28" s="38" t="s">
        <v>63</v>
      </c>
      <c r="L28" s="38" t="s">
        <v>27</v>
      </c>
      <c r="M28" s="37">
        <v>45012</v>
      </c>
      <c r="N28" s="40">
        <v>239.97</v>
      </c>
      <c r="O28" s="38">
        <f t="shared" ca="1" si="0"/>
        <v>1665</v>
      </c>
      <c r="P28" s="44">
        <f t="shared" ca="1" si="1"/>
        <v>4</v>
      </c>
      <c r="Q28" s="45">
        <f t="shared" si="2"/>
        <v>45504</v>
      </c>
      <c r="R28" s="43">
        <f t="shared" ca="1" si="3"/>
        <v>46276.697382638886</v>
      </c>
      <c r="S28" s="44" t="str">
        <f t="shared" si="4"/>
        <v>SG</v>
      </c>
    </row>
    <row r="29" spans="1:19" ht="18.600000000000001" thickBot="1">
      <c r="A29" s="36" t="s">
        <v>116</v>
      </c>
      <c r="B29" s="37">
        <v>45424</v>
      </c>
      <c r="C29" s="38" t="s">
        <v>99</v>
      </c>
      <c r="D29" s="38" t="s">
        <v>100</v>
      </c>
      <c r="E29" s="38" t="s">
        <v>117</v>
      </c>
      <c r="F29" s="38" t="s">
        <v>118</v>
      </c>
      <c r="G29" s="38" t="s">
        <v>19</v>
      </c>
      <c r="H29" s="39">
        <v>5</v>
      </c>
      <c r="I29" s="39">
        <v>89.99</v>
      </c>
      <c r="J29" s="38" t="s">
        <v>20</v>
      </c>
      <c r="K29" s="38" t="s">
        <v>40</v>
      </c>
      <c r="L29" s="38" t="s">
        <v>27</v>
      </c>
      <c r="M29" s="37">
        <v>44919</v>
      </c>
      <c r="N29" s="40">
        <v>449.95</v>
      </c>
      <c r="O29" s="38">
        <f t="shared" ca="1" si="0"/>
        <v>1295</v>
      </c>
      <c r="P29" s="44">
        <f t="shared" ca="1" si="1"/>
        <v>3</v>
      </c>
      <c r="Q29" s="45">
        <f t="shared" si="2"/>
        <v>45504</v>
      </c>
      <c r="R29" s="43">
        <f t="shared" ca="1" si="3"/>
        <v>46276.697382638886</v>
      </c>
      <c r="S29" s="44" t="str">
        <f t="shared" si="4"/>
        <v>DM</v>
      </c>
    </row>
    <row r="30" spans="1:19" ht="18.600000000000001" thickBot="1">
      <c r="A30" s="36" t="s">
        <v>119</v>
      </c>
      <c r="B30" s="37">
        <v>45425</v>
      </c>
      <c r="C30" s="38" t="s">
        <v>120</v>
      </c>
      <c r="D30" s="38" t="s">
        <v>121</v>
      </c>
      <c r="E30" s="38" t="s">
        <v>31</v>
      </c>
      <c r="F30" s="38" t="s">
        <v>32</v>
      </c>
      <c r="G30" s="38" t="s">
        <v>33</v>
      </c>
      <c r="H30" s="39">
        <v>2</v>
      </c>
      <c r="I30" s="39">
        <v>59.99</v>
      </c>
      <c r="J30" s="38" t="s">
        <v>57</v>
      </c>
      <c r="K30" s="38" t="s">
        <v>21</v>
      </c>
      <c r="L30" s="38" t="s">
        <v>36</v>
      </c>
      <c r="M30" s="37">
        <v>45214</v>
      </c>
      <c r="N30" s="40">
        <v>119.98</v>
      </c>
      <c r="O30" s="38">
        <f t="shared" ca="1" si="0"/>
        <v>1855</v>
      </c>
      <c r="P30" s="44">
        <f t="shared" ca="1" si="1"/>
        <v>5</v>
      </c>
      <c r="Q30" s="45">
        <f t="shared" si="2"/>
        <v>45504</v>
      </c>
      <c r="R30" s="43">
        <f t="shared" ca="1" si="3"/>
        <v>46276.697382638886</v>
      </c>
      <c r="S30" s="44" t="str">
        <f t="shared" si="4"/>
        <v>MW</v>
      </c>
    </row>
    <row r="31" spans="1:19" ht="18.600000000000001" thickBot="1">
      <c r="A31" s="36" t="s">
        <v>122</v>
      </c>
      <c r="B31" s="37">
        <v>45427</v>
      </c>
      <c r="C31" s="38" t="s">
        <v>123</v>
      </c>
      <c r="D31" s="38" t="s">
        <v>124</v>
      </c>
      <c r="E31" s="38" t="s">
        <v>31</v>
      </c>
      <c r="F31" s="38" t="s">
        <v>32</v>
      </c>
      <c r="G31" s="38" t="s">
        <v>33</v>
      </c>
      <c r="H31" s="39">
        <v>4</v>
      </c>
      <c r="I31" s="39">
        <v>59.99</v>
      </c>
      <c r="J31" s="38" t="s">
        <v>57</v>
      </c>
      <c r="K31" s="38" t="s">
        <v>63</v>
      </c>
      <c r="L31" s="38" t="s">
        <v>36</v>
      </c>
      <c r="M31" s="37">
        <v>44867</v>
      </c>
      <c r="N31" s="40">
        <v>239.96</v>
      </c>
      <c r="O31" s="38">
        <f t="shared" ca="1" si="0"/>
        <v>887</v>
      </c>
      <c r="P31" s="44">
        <f t="shared" ca="1" si="1"/>
        <v>2</v>
      </c>
      <c r="Q31" s="45">
        <f t="shared" si="2"/>
        <v>45504</v>
      </c>
      <c r="R31" s="43">
        <f t="shared" ca="1" si="3"/>
        <v>46276.697382638886</v>
      </c>
      <c r="S31" s="44" t="str">
        <f t="shared" si="4"/>
        <v>MB</v>
      </c>
    </row>
    <row r="32" spans="1:19" ht="18.600000000000001" thickBot="1">
      <c r="A32" s="36" t="s">
        <v>125</v>
      </c>
      <c r="B32" s="37">
        <v>45427</v>
      </c>
      <c r="C32" s="38" t="s">
        <v>55</v>
      </c>
      <c r="D32" s="38" t="s">
        <v>56</v>
      </c>
      <c r="E32" s="38" t="s">
        <v>126</v>
      </c>
      <c r="F32" s="38" t="s">
        <v>127</v>
      </c>
      <c r="G32" s="38" t="s">
        <v>46</v>
      </c>
      <c r="H32" s="39">
        <v>5</v>
      </c>
      <c r="I32" s="39">
        <v>199.99</v>
      </c>
      <c r="J32" s="38" t="s">
        <v>20</v>
      </c>
      <c r="K32" s="38" t="s">
        <v>35</v>
      </c>
      <c r="L32" s="38" t="s">
        <v>36</v>
      </c>
      <c r="M32" s="37">
        <v>44412</v>
      </c>
      <c r="N32" s="40">
        <v>999.95</v>
      </c>
      <c r="O32" s="38">
        <f t="shared" ca="1" si="0"/>
        <v>1115</v>
      </c>
      <c r="P32" s="44">
        <f t="shared" ca="1" si="1"/>
        <v>3</v>
      </c>
      <c r="Q32" s="45">
        <f t="shared" si="2"/>
        <v>45504</v>
      </c>
      <c r="R32" s="43">
        <f t="shared" ca="1" si="3"/>
        <v>46276.697382638886</v>
      </c>
      <c r="S32" s="44" t="str">
        <f t="shared" si="4"/>
        <v>BY</v>
      </c>
    </row>
    <row r="33" spans="1:19" ht="18.600000000000001" thickBot="1">
      <c r="A33" s="36" t="s">
        <v>128</v>
      </c>
      <c r="B33" s="37">
        <v>45428</v>
      </c>
      <c r="C33" s="38" t="s">
        <v>129</v>
      </c>
      <c r="D33" s="38" t="s">
        <v>130</v>
      </c>
      <c r="E33" s="38" t="s">
        <v>44</v>
      </c>
      <c r="F33" s="38" t="s">
        <v>45</v>
      </c>
      <c r="G33" s="38" t="s">
        <v>46</v>
      </c>
      <c r="H33" s="39">
        <v>2</v>
      </c>
      <c r="I33" s="39">
        <v>149.99</v>
      </c>
      <c r="J33" s="38" t="s">
        <v>26</v>
      </c>
      <c r="K33" s="38" t="s">
        <v>50</v>
      </c>
      <c r="L33" s="38" t="s">
        <v>22</v>
      </c>
      <c r="M33" s="37">
        <v>44823</v>
      </c>
      <c r="N33" s="40">
        <v>299.98</v>
      </c>
      <c r="O33" s="38">
        <f t="shared" ca="1" si="0"/>
        <v>1767</v>
      </c>
      <c r="P33" s="44">
        <f t="shared" ca="1" si="1"/>
        <v>4</v>
      </c>
      <c r="Q33" s="45">
        <f t="shared" si="2"/>
        <v>45504</v>
      </c>
      <c r="R33" s="43">
        <f t="shared" ca="1" si="3"/>
        <v>46276.697382638886</v>
      </c>
      <c r="S33" s="44" t="str">
        <f t="shared" si="4"/>
        <v>RR</v>
      </c>
    </row>
    <row r="34" spans="1:19" ht="18.600000000000001" thickBot="1">
      <c r="A34" s="36" t="s">
        <v>131</v>
      </c>
      <c r="B34" s="37">
        <v>45430</v>
      </c>
      <c r="C34" s="38" t="s">
        <v>132</v>
      </c>
      <c r="D34" s="38" t="s">
        <v>133</v>
      </c>
      <c r="E34" s="38" t="s">
        <v>44</v>
      </c>
      <c r="F34" s="38" t="s">
        <v>45</v>
      </c>
      <c r="G34" s="38" t="s">
        <v>46</v>
      </c>
      <c r="H34" s="39">
        <v>3</v>
      </c>
      <c r="I34" s="39">
        <v>149.99</v>
      </c>
      <c r="J34" s="38" t="s">
        <v>26</v>
      </c>
      <c r="K34" s="38" t="s">
        <v>50</v>
      </c>
      <c r="L34" s="38" t="s">
        <v>27</v>
      </c>
      <c r="M34" s="37">
        <v>45068</v>
      </c>
      <c r="N34" s="40">
        <v>449.97</v>
      </c>
      <c r="O34" s="38">
        <f t="shared" ca="1" si="0"/>
        <v>1367</v>
      </c>
      <c r="P34" s="44">
        <f t="shared" ca="1" si="1"/>
        <v>3</v>
      </c>
      <c r="Q34" s="45">
        <f t="shared" si="2"/>
        <v>45504</v>
      </c>
      <c r="R34" s="43">
        <f t="shared" ca="1" si="3"/>
        <v>46276.697382638886</v>
      </c>
      <c r="S34" s="44" t="str">
        <f t="shared" si="4"/>
        <v>JJ</v>
      </c>
    </row>
    <row r="35" spans="1:19" ht="18.600000000000001" thickBot="1">
      <c r="A35" s="36" t="s">
        <v>134</v>
      </c>
      <c r="B35" s="37">
        <v>45432</v>
      </c>
      <c r="C35" s="38" t="s">
        <v>29</v>
      </c>
      <c r="D35" s="38" t="s">
        <v>30</v>
      </c>
      <c r="E35" s="38" t="s">
        <v>61</v>
      </c>
      <c r="F35" s="38" t="s">
        <v>62</v>
      </c>
      <c r="G35" s="38" t="s">
        <v>19</v>
      </c>
      <c r="H35" s="39">
        <v>1</v>
      </c>
      <c r="I35" s="39">
        <v>899.99</v>
      </c>
      <c r="J35" s="38" t="s">
        <v>26</v>
      </c>
      <c r="K35" s="38" t="s">
        <v>50</v>
      </c>
      <c r="L35" s="38" t="s">
        <v>27</v>
      </c>
      <c r="M35" s="37">
        <v>44578</v>
      </c>
      <c r="N35" s="40">
        <v>899.99</v>
      </c>
      <c r="O35" s="38">
        <f t="shared" ca="1" si="0"/>
        <v>1385</v>
      </c>
      <c r="P35" s="44">
        <f t="shared" ca="1" si="1"/>
        <v>3</v>
      </c>
      <c r="Q35" s="45">
        <f t="shared" si="2"/>
        <v>45504</v>
      </c>
      <c r="R35" s="43">
        <f t="shared" ca="1" si="3"/>
        <v>46276.697382638886</v>
      </c>
      <c r="S35" s="44" t="str">
        <f t="shared" si="4"/>
        <v>FT</v>
      </c>
    </row>
    <row r="36" spans="1:19" ht="18.600000000000001" thickBot="1">
      <c r="A36" s="36" t="s">
        <v>135</v>
      </c>
      <c r="B36" s="37">
        <v>45434</v>
      </c>
      <c r="C36" s="38" t="s">
        <v>99</v>
      </c>
      <c r="D36" s="38" t="s">
        <v>100</v>
      </c>
      <c r="E36" s="38" t="s">
        <v>105</v>
      </c>
      <c r="F36" s="38" t="s">
        <v>106</v>
      </c>
      <c r="G36" s="38" t="s">
        <v>46</v>
      </c>
      <c r="H36" s="39">
        <v>3</v>
      </c>
      <c r="I36" s="39">
        <v>299.99</v>
      </c>
      <c r="J36" s="38" t="s">
        <v>26</v>
      </c>
      <c r="K36" s="38" t="s">
        <v>63</v>
      </c>
      <c r="L36" s="38" t="s">
        <v>22</v>
      </c>
      <c r="M36" s="37">
        <v>44824</v>
      </c>
      <c r="N36" s="40">
        <v>899.97</v>
      </c>
      <c r="O36" s="38">
        <f t="shared" ca="1" si="0"/>
        <v>1735</v>
      </c>
      <c r="P36" s="44">
        <f t="shared" ca="1" si="1"/>
        <v>4</v>
      </c>
      <c r="Q36" s="45">
        <f t="shared" si="2"/>
        <v>45504</v>
      </c>
      <c r="R36" s="43">
        <f t="shared" ca="1" si="3"/>
        <v>46276.697382638886</v>
      </c>
      <c r="S36" s="44" t="str">
        <f t="shared" si="4"/>
        <v>FT</v>
      </c>
    </row>
    <row r="37" spans="1:19" ht="18.600000000000001" thickBot="1">
      <c r="A37" s="36" t="s">
        <v>136</v>
      </c>
      <c r="B37" s="37">
        <v>45435</v>
      </c>
      <c r="C37" s="38" t="s">
        <v>129</v>
      </c>
      <c r="D37" s="38" t="s">
        <v>130</v>
      </c>
      <c r="E37" s="38" t="s">
        <v>114</v>
      </c>
      <c r="F37" s="38" t="s">
        <v>115</v>
      </c>
      <c r="G37" s="38" t="s">
        <v>33</v>
      </c>
      <c r="H37" s="39">
        <v>3</v>
      </c>
      <c r="I37" s="39">
        <v>79.989999999999995</v>
      </c>
      <c r="J37" s="38" t="s">
        <v>20</v>
      </c>
      <c r="K37" s="38" t="s">
        <v>35</v>
      </c>
      <c r="L37" s="38" t="s">
        <v>22</v>
      </c>
      <c r="M37" s="37">
        <v>45046</v>
      </c>
      <c r="N37" s="40">
        <v>239.97</v>
      </c>
      <c r="O37" s="38">
        <f t="shared" ca="1" si="0"/>
        <v>1146</v>
      </c>
      <c r="P37" s="44">
        <f t="shared" ca="1" si="1"/>
        <v>3</v>
      </c>
      <c r="Q37" s="45">
        <f t="shared" si="2"/>
        <v>45504</v>
      </c>
      <c r="R37" s="43">
        <f t="shared" ca="1" si="3"/>
        <v>46276.697382638886</v>
      </c>
      <c r="S37" s="44" t="str">
        <f t="shared" si="4"/>
        <v>GM</v>
      </c>
    </row>
    <row r="38" spans="1:19" ht="18.600000000000001" thickBot="1">
      <c r="A38" s="36" t="s">
        <v>137</v>
      </c>
      <c r="B38" s="37">
        <v>45438</v>
      </c>
      <c r="C38" s="38" t="s">
        <v>138</v>
      </c>
      <c r="D38" s="38" t="s">
        <v>139</v>
      </c>
      <c r="E38" s="38" t="s">
        <v>126</v>
      </c>
      <c r="F38" s="38" t="s">
        <v>127</v>
      </c>
      <c r="G38" s="38" t="s">
        <v>46</v>
      </c>
      <c r="H38" s="39">
        <v>3</v>
      </c>
      <c r="I38" s="39">
        <v>199.99</v>
      </c>
      <c r="J38" s="38" t="s">
        <v>26</v>
      </c>
      <c r="K38" s="38" t="s">
        <v>40</v>
      </c>
      <c r="L38" s="38" t="s">
        <v>27</v>
      </c>
      <c r="M38" s="37">
        <v>45292</v>
      </c>
      <c r="N38" s="40">
        <v>599.97</v>
      </c>
      <c r="O38" s="38">
        <f t="shared" ca="1" si="0"/>
        <v>1077</v>
      </c>
      <c r="P38" s="44">
        <f t="shared" ca="1" si="1"/>
        <v>2</v>
      </c>
      <c r="Q38" s="45">
        <f t="shared" si="2"/>
        <v>45504</v>
      </c>
      <c r="R38" s="43">
        <f t="shared" ca="1" si="3"/>
        <v>46276.697382638886</v>
      </c>
      <c r="S38" s="44" t="str">
        <f t="shared" si="4"/>
        <v>PR</v>
      </c>
    </row>
    <row r="39" spans="1:19" ht="18.600000000000001" thickBot="1">
      <c r="A39" s="36" t="s">
        <v>140</v>
      </c>
      <c r="B39" s="37">
        <v>45440</v>
      </c>
      <c r="C39" s="38" t="s">
        <v>141</v>
      </c>
      <c r="D39" s="38" t="s">
        <v>142</v>
      </c>
      <c r="E39" s="38" t="s">
        <v>80</v>
      </c>
      <c r="F39" s="38" t="s">
        <v>81</v>
      </c>
      <c r="G39" s="38" t="s">
        <v>19</v>
      </c>
      <c r="H39" s="39">
        <v>5</v>
      </c>
      <c r="I39" s="39">
        <v>699.99</v>
      </c>
      <c r="J39" s="38" t="s">
        <v>34</v>
      </c>
      <c r="K39" s="38" t="s">
        <v>50</v>
      </c>
      <c r="L39" s="38" t="s">
        <v>36</v>
      </c>
      <c r="M39" s="37">
        <v>44407</v>
      </c>
      <c r="N39" s="40">
        <v>3499.95</v>
      </c>
      <c r="O39" s="38">
        <f t="shared" ca="1" si="0"/>
        <v>1022</v>
      </c>
      <c r="P39" s="44">
        <f t="shared" ca="1" si="1"/>
        <v>2</v>
      </c>
      <c r="Q39" s="45">
        <f t="shared" si="2"/>
        <v>45504</v>
      </c>
      <c r="R39" s="43">
        <f t="shared" ca="1" si="3"/>
        <v>46276.697382638886</v>
      </c>
      <c r="S39" s="44" t="str">
        <f t="shared" si="4"/>
        <v>KH</v>
      </c>
    </row>
    <row r="40" spans="1:19" ht="18.600000000000001" thickBot="1">
      <c r="A40" s="36" t="s">
        <v>143</v>
      </c>
      <c r="B40" s="37">
        <v>45441</v>
      </c>
      <c r="C40" s="38" t="s">
        <v>144</v>
      </c>
      <c r="D40" s="38" t="s">
        <v>145</v>
      </c>
      <c r="E40" s="38" t="s">
        <v>117</v>
      </c>
      <c r="F40" s="38" t="s">
        <v>118</v>
      </c>
      <c r="G40" s="38" t="s">
        <v>19</v>
      </c>
      <c r="H40" s="39">
        <v>3</v>
      </c>
      <c r="I40" s="39">
        <v>89.99</v>
      </c>
      <c r="J40" s="38" t="s">
        <v>34</v>
      </c>
      <c r="K40" s="38" t="s">
        <v>21</v>
      </c>
      <c r="L40" s="38" t="s">
        <v>27</v>
      </c>
      <c r="M40" s="37">
        <v>45120</v>
      </c>
      <c r="N40" s="40">
        <v>269.97000000000003</v>
      </c>
      <c r="O40" s="38">
        <f t="shared" ca="1" si="0"/>
        <v>1097</v>
      </c>
      <c r="P40" s="44">
        <f t="shared" ca="1" si="1"/>
        <v>3</v>
      </c>
      <c r="Q40" s="45">
        <f t="shared" si="2"/>
        <v>45504</v>
      </c>
      <c r="R40" s="43">
        <f t="shared" ca="1" si="3"/>
        <v>46276.697382638886</v>
      </c>
      <c r="S40" s="44" t="str">
        <f t="shared" si="4"/>
        <v>SB</v>
      </c>
    </row>
    <row r="41" spans="1:19" ht="18.600000000000001" thickBot="1">
      <c r="A41" s="36" t="s">
        <v>146</v>
      </c>
      <c r="B41" s="37">
        <v>45443</v>
      </c>
      <c r="C41" s="38" t="s">
        <v>147</v>
      </c>
      <c r="D41" s="38" t="s">
        <v>148</v>
      </c>
      <c r="E41" s="38" t="s">
        <v>114</v>
      </c>
      <c r="F41" s="38" t="s">
        <v>115</v>
      </c>
      <c r="G41" s="38" t="s">
        <v>33</v>
      </c>
      <c r="H41" s="39">
        <v>1</v>
      </c>
      <c r="I41" s="39">
        <v>79.989999999999995</v>
      </c>
      <c r="J41" s="38" t="s">
        <v>20</v>
      </c>
      <c r="K41" s="38" t="s">
        <v>40</v>
      </c>
      <c r="L41" s="38" t="s">
        <v>36</v>
      </c>
      <c r="M41" s="37">
        <v>44917</v>
      </c>
      <c r="N41" s="40">
        <v>79.989999999999995</v>
      </c>
      <c r="O41" s="38">
        <f t="shared" ca="1" si="0"/>
        <v>1377</v>
      </c>
      <c r="P41" s="44">
        <f t="shared" ca="1" si="1"/>
        <v>3</v>
      </c>
      <c r="Q41" s="45">
        <f t="shared" si="2"/>
        <v>45504</v>
      </c>
      <c r="R41" s="43">
        <f t="shared" ca="1" si="3"/>
        <v>46276.697382638886</v>
      </c>
      <c r="S41" s="44" t="str">
        <f t="shared" si="4"/>
        <v>JJ</v>
      </c>
    </row>
    <row r="42" spans="1:19" ht="18.600000000000001" thickBot="1">
      <c r="A42" s="36" t="s">
        <v>149</v>
      </c>
      <c r="B42" s="37">
        <v>45444</v>
      </c>
      <c r="C42" s="38" t="s">
        <v>150</v>
      </c>
      <c r="D42" s="38" t="s">
        <v>151</v>
      </c>
      <c r="E42" s="38" t="s">
        <v>31</v>
      </c>
      <c r="F42" s="38" t="s">
        <v>32</v>
      </c>
      <c r="G42" s="38" t="s">
        <v>33</v>
      </c>
      <c r="H42" s="39">
        <v>2</v>
      </c>
      <c r="I42" s="39">
        <v>59.99</v>
      </c>
      <c r="J42" s="38" t="s">
        <v>20</v>
      </c>
      <c r="K42" s="38" t="s">
        <v>50</v>
      </c>
      <c r="L42" s="38" t="s">
        <v>22</v>
      </c>
      <c r="M42" s="37">
        <v>45390</v>
      </c>
      <c r="N42" s="40">
        <v>119.98</v>
      </c>
      <c r="O42" s="38">
        <f t="shared" ca="1" si="0"/>
        <v>1124</v>
      </c>
      <c r="P42" s="44">
        <f t="shared" ca="1" si="1"/>
        <v>3</v>
      </c>
      <c r="Q42" s="45">
        <f t="shared" si="2"/>
        <v>45504</v>
      </c>
      <c r="R42" s="43">
        <f t="shared" ca="1" si="3"/>
        <v>46276.697382638886</v>
      </c>
      <c r="S42" s="44" t="str">
        <f t="shared" si="4"/>
        <v>DM</v>
      </c>
    </row>
    <row r="43" spans="1:19" ht="18.600000000000001" thickBot="1">
      <c r="A43" s="36" t="s">
        <v>152</v>
      </c>
      <c r="B43" s="37">
        <v>45444</v>
      </c>
      <c r="C43" s="38" t="s">
        <v>55</v>
      </c>
      <c r="D43" s="38" t="s">
        <v>56</v>
      </c>
      <c r="E43" s="38" t="s">
        <v>117</v>
      </c>
      <c r="F43" s="38" t="s">
        <v>118</v>
      </c>
      <c r="G43" s="38" t="s">
        <v>19</v>
      </c>
      <c r="H43" s="39">
        <v>1</v>
      </c>
      <c r="I43" s="39">
        <v>89.99</v>
      </c>
      <c r="J43" s="38" t="s">
        <v>20</v>
      </c>
      <c r="K43" s="38" t="s">
        <v>40</v>
      </c>
      <c r="L43" s="38" t="s">
        <v>22</v>
      </c>
      <c r="M43" s="37">
        <v>45141</v>
      </c>
      <c r="N43" s="40">
        <v>89.99</v>
      </c>
      <c r="O43" s="38">
        <f t="shared" ca="1" si="0"/>
        <v>1149</v>
      </c>
      <c r="P43" s="44">
        <f t="shared" ca="1" si="1"/>
        <v>3</v>
      </c>
      <c r="Q43" s="45">
        <f t="shared" si="2"/>
        <v>45504</v>
      </c>
      <c r="R43" s="43">
        <f t="shared" ca="1" si="3"/>
        <v>46276.697382638886</v>
      </c>
      <c r="S43" s="44" t="str">
        <f t="shared" si="4"/>
        <v>GM</v>
      </c>
    </row>
    <row r="44" spans="1:19" ht="18.600000000000001" thickBot="1">
      <c r="A44" s="36" t="s">
        <v>153</v>
      </c>
      <c r="B44" s="37">
        <v>45446</v>
      </c>
      <c r="C44" s="38" t="s">
        <v>154</v>
      </c>
      <c r="D44" s="38" t="s">
        <v>155</v>
      </c>
      <c r="E44" s="38" t="s">
        <v>117</v>
      </c>
      <c r="F44" s="38" t="s">
        <v>118</v>
      </c>
      <c r="G44" s="38" t="s">
        <v>19</v>
      </c>
      <c r="H44" s="39">
        <v>5</v>
      </c>
      <c r="I44" s="39">
        <v>89.99</v>
      </c>
      <c r="J44" s="38" t="s">
        <v>26</v>
      </c>
      <c r="K44" s="38" t="s">
        <v>63</v>
      </c>
      <c r="L44" s="38" t="s">
        <v>36</v>
      </c>
      <c r="M44" s="37">
        <v>44587</v>
      </c>
      <c r="N44" s="40">
        <v>449.95</v>
      </c>
      <c r="O44" s="38">
        <f t="shared" ca="1" si="0"/>
        <v>1112</v>
      </c>
      <c r="P44" s="44">
        <f t="shared" ca="1" si="1"/>
        <v>3</v>
      </c>
      <c r="Q44" s="45">
        <f t="shared" si="2"/>
        <v>45504</v>
      </c>
      <c r="R44" s="43">
        <f t="shared" ca="1" si="3"/>
        <v>46276.697382638886</v>
      </c>
      <c r="S44" s="44" t="str">
        <f t="shared" si="4"/>
        <v>BY</v>
      </c>
    </row>
    <row r="45" spans="1:19" ht="18.600000000000001" thickBot="1">
      <c r="A45" s="36" t="s">
        <v>156</v>
      </c>
      <c r="B45" s="37">
        <v>45449</v>
      </c>
      <c r="C45" s="38" t="s">
        <v>24</v>
      </c>
      <c r="D45" s="38" t="s">
        <v>25</v>
      </c>
      <c r="E45" s="38" t="s">
        <v>17</v>
      </c>
      <c r="F45" s="38" t="s">
        <v>18</v>
      </c>
      <c r="G45" s="38" t="s">
        <v>19</v>
      </c>
      <c r="H45" s="39">
        <v>5</v>
      </c>
      <c r="I45" s="39">
        <v>249.99</v>
      </c>
      <c r="J45" s="38" t="s">
        <v>26</v>
      </c>
      <c r="K45" s="38" t="s">
        <v>63</v>
      </c>
      <c r="L45" s="38" t="s">
        <v>36</v>
      </c>
      <c r="M45" s="37">
        <v>44707</v>
      </c>
      <c r="N45" s="40">
        <v>1249.95</v>
      </c>
      <c r="O45" s="38">
        <f t="shared" ca="1" si="0"/>
        <v>1294</v>
      </c>
      <c r="P45" s="44">
        <f t="shared" ca="1" si="1"/>
        <v>3</v>
      </c>
      <c r="Q45" s="45">
        <f t="shared" si="2"/>
        <v>45504</v>
      </c>
      <c r="R45" s="43">
        <f t="shared" ca="1" si="3"/>
        <v>46276.697382638886</v>
      </c>
      <c r="S45" s="44" t="str">
        <f t="shared" si="4"/>
        <v>DK</v>
      </c>
    </row>
    <row r="46" spans="1:19" ht="18.600000000000001" thickBot="1">
      <c r="A46" s="36" t="s">
        <v>157</v>
      </c>
      <c r="B46" s="37">
        <v>45449</v>
      </c>
      <c r="C46" s="38" t="s">
        <v>158</v>
      </c>
      <c r="D46" s="38" t="s">
        <v>159</v>
      </c>
      <c r="E46" s="38" t="s">
        <v>117</v>
      </c>
      <c r="F46" s="38" t="s">
        <v>118</v>
      </c>
      <c r="G46" s="38" t="s">
        <v>19</v>
      </c>
      <c r="H46" s="39">
        <v>1</v>
      </c>
      <c r="I46" s="39">
        <v>89.99</v>
      </c>
      <c r="J46" s="38" t="s">
        <v>26</v>
      </c>
      <c r="K46" s="38" t="s">
        <v>35</v>
      </c>
      <c r="L46" s="38" t="s">
        <v>36</v>
      </c>
      <c r="M46" s="37">
        <v>44582</v>
      </c>
      <c r="N46" s="40">
        <v>89.99</v>
      </c>
      <c r="O46" s="38">
        <f t="shared" ca="1" si="0"/>
        <v>1300</v>
      </c>
      <c r="P46" s="44">
        <f t="shared" ca="1" si="1"/>
        <v>3</v>
      </c>
      <c r="Q46" s="45">
        <f t="shared" si="2"/>
        <v>45504</v>
      </c>
      <c r="R46" s="43">
        <f t="shared" ca="1" si="3"/>
        <v>46276.697382638886</v>
      </c>
      <c r="S46" s="44" t="str">
        <f t="shared" si="4"/>
        <v>MC</v>
      </c>
    </row>
    <row r="47" spans="1:19" ht="18.600000000000001" thickBot="1">
      <c r="A47" s="36" t="s">
        <v>160</v>
      </c>
      <c r="B47" s="37">
        <v>45450</v>
      </c>
      <c r="C47" s="38" t="s">
        <v>42</v>
      </c>
      <c r="D47" s="38" t="s">
        <v>43</v>
      </c>
      <c r="E47" s="38" t="s">
        <v>44</v>
      </c>
      <c r="F47" s="38" t="s">
        <v>45</v>
      </c>
      <c r="G47" s="38" t="s">
        <v>46</v>
      </c>
      <c r="H47" s="39">
        <v>2</v>
      </c>
      <c r="I47" s="39">
        <v>149.99</v>
      </c>
      <c r="J47" s="38" t="s">
        <v>20</v>
      </c>
      <c r="K47" s="38" t="s">
        <v>63</v>
      </c>
      <c r="L47" s="38" t="s">
        <v>27</v>
      </c>
      <c r="M47" s="37">
        <v>44645</v>
      </c>
      <c r="N47" s="40">
        <v>299.98</v>
      </c>
      <c r="O47" s="38">
        <f t="shared" ca="1" si="0"/>
        <v>1544</v>
      </c>
      <c r="P47" s="44">
        <f t="shared" ca="1" si="1"/>
        <v>4</v>
      </c>
      <c r="Q47" s="45">
        <f t="shared" si="2"/>
        <v>45504</v>
      </c>
      <c r="R47" s="43">
        <f t="shared" ca="1" si="3"/>
        <v>46276.697382638886</v>
      </c>
      <c r="S47" s="44" t="str">
        <f t="shared" si="4"/>
        <v>DK</v>
      </c>
    </row>
    <row r="48" spans="1:19" ht="18.600000000000001" thickBot="1">
      <c r="A48" s="36" t="s">
        <v>161</v>
      </c>
      <c r="B48" s="37">
        <v>45452</v>
      </c>
      <c r="C48" s="38" t="s">
        <v>162</v>
      </c>
      <c r="D48" s="38" t="s">
        <v>163</v>
      </c>
      <c r="E48" s="38" t="s">
        <v>31</v>
      </c>
      <c r="F48" s="38" t="s">
        <v>32</v>
      </c>
      <c r="G48" s="38" t="s">
        <v>33</v>
      </c>
      <c r="H48" s="39">
        <v>4</v>
      </c>
      <c r="I48" s="39">
        <v>59.99</v>
      </c>
      <c r="J48" s="38" t="s">
        <v>20</v>
      </c>
      <c r="K48" s="38" t="s">
        <v>63</v>
      </c>
      <c r="L48" s="38" t="s">
        <v>36</v>
      </c>
      <c r="M48" s="37">
        <v>44435</v>
      </c>
      <c r="N48" s="40">
        <v>239.96</v>
      </c>
      <c r="O48" s="38">
        <f t="shared" ca="1" si="0"/>
        <v>1277</v>
      </c>
      <c r="P48" s="44">
        <f t="shared" ca="1" si="1"/>
        <v>3</v>
      </c>
      <c r="Q48" s="45">
        <f t="shared" si="2"/>
        <v>45504</v>
      </c>
      <c r="R48" s="43">
        <f t="shared" ca="1" si="3"/>
        <v>46276.697382638886</v>
      </c>
      <c r="S48" s="44" t="str">
        <f t="shared" si="4"/>
        <v>MC</v>
      </c>
    </row>
    <row r="49" spans="1:19" ht="18.600000000000001" thickBot="1">
      <c r="A49" s="36" t="s">
        <v>164</v>
      </c>
      <c r="B49" s="37">
        <v>45456</v>
      </c>
      <c r="C49" s="38" t="s">
        <v>129</v>
      </c>
      <c r="D49" s="38" t="s">
        <v>130</v>
      </c>
      <c r="E49" s="38" t="s">
        <v>117</v>
      </c>
      <c r="F49" s="38" t="s">
        <v>118</v>
      </c>
      <c r="G49" s="38" t="s">
        <v>19</v>
      </c>
      <c r="H49" s="39">
        <v>5</v>
      </c>
      <c r="I49" s="39">
        <v>89.99</v>
      </c>
      <c r="J49" s="38" t="s">
        <v>20</v>
      </c>
      <c r="K49" s="38" t="s">
        <v>21</v>
      </c>
      <c r="L49" s="38" t="s">
        <v>27</v>
      </c>
      <c r="M49" s="37">
        <v>44579</v>
      </c>
      <c r="N49" s="40">
        <v>449.95</v>
      </c>
      <c r="O49" s="38">
        <f t="shared" ca="1" si="0"/>
        <v>1753</v>
      </c>
      <c r="P49" s="44">
        <f t="shared" ca="1" si="1"/>
        <v>4</v>
      </c>
      <c r="Q49" s="45">
        <f t="shared" si="2"/>
        <v>45504</v>
      </c>
      <c r="R49" s="43">
        <f t="shared" ca="1" si="3"/>
        <v>46276.697382638886</v>
      </c>
      <c r="S49" s="44" t="str">
        <f t="shared" si="4"/>
        <v>HR</v>
      </c>
    </row>
    <row r="50" spans="1:19" ht="18.600000000000001" thickBot="1">
      <c r="A50" s="36" t="s">
        <v>165</v>
      </c>
      <c r="B50" s="37">
        <v>45459</v>
      </c>
      <c r="C50" s="38" t="s">
        <v>99</v>
      </c>
      <c r="D50" s="38" t="s">
        <v>100</v>
      </c>
      <c r="E50" s="38" t="s">
        <v>117</v>
      </c>
      <c r="F50" s="38" t="s">
        <v>118</v>
      </c>
      <c r="G50" s="38" t="s">
        <v>19</v>
      </c>
      <c r="H50" s="39">
        <v>2</v>
      </c>
      <c r="I50" s="39">
        <v>89.99</v>
      </c>
      <c r="J50" s="38" t="s">
        <v>26</v>
      </c>
      <c r="K50" s="38" t="s">
        <v>35</v>
      </c>
      <c r="L50" s="38" t="s">
        <v>27</v>
      </c>
      <c r="M50" s="37">
        <v>44471</v>
      </c>
      <c r="N50" s="40">
        <v>179.98</v>
      </c>
      <c r="O50" s="38">
        <f t="shared" ca="1" si="0"/>
        <v>1734</v>
      </c>
      <c r="P50" s="44">
        <f t="shared" ca="1" si="1"/>
        <v>4</v>
      </c>
      <c r="Q50" s="45">
        <f t="shared" si="2"/>
        <v>45535</v>
      </c>
      <c r="R50" s="43">
        <f t="shared" ca="1" si="3"/>
        <v>46276.697382638886</v>
      </c>
      <c r="S50" s="44" t="str">
        <f t="shared" si="4"/>
        <v>EH</v>
      </c>
    </row>
    <row r="51" spans="1:19" ht="18.600000000000001" thickBot="1">
      <c r="A51" s="36" t="s">
        <v>166</v>
      </c>
      <c r="B51" s="37">
        <v>45459</v>
      </c>
      <c r="C51" s="38" t="s">
        <v>15</v>
      </c>
      <c r="D51" s="38" t="s">
        <v>16</v>
      </c>
      <c r="E51" s="38" t="s">
        <v>61</v>
      </c>
      <c r="F51" s="38" t="s">
        <v>62</v>
      </c>
      <c r="G51" s="38" t="s">
        <v>19</v>
      </c>
      <c r="H51" s="39">
        <v>5</v>
      </c>
      <c r="I51" s="39">
        <v>899.99</v>
      </c>
      <c r="J51" s="38" t="s">
        <v>26</v>
      </c>
      <c r="K51" s="38" t="s">
        <v>35</v>
      </c>
      <c r="L51" s="38" t="s">
        <v>36</v>
      </c>
      <c r="M51" s="37">
        <v>44974</v>
      </c>
      <c r="N51" s="40">
        <v>4499.95</v>
      </c>
      <c r="O51" s="38">
        <f t="shared" ca="1" si="0"/>
        <v>1609</v>
      </c>
      <c r="P51" s="44">
        <f t="shared" ca="1" si="1"/>
        <v>4</v>
      </c>
      <c r="Q51" s="45">
        <f t="shared" si="2"/>
        <v>45535</v>
      </c>
      <c r="R51" s="43">
        <f t="shared" ca="1" si="3"/>
        <v>46276.697382638886</v>
      </c>
      <c r="S51" s="44" t="str">
        <f t="shared" si="4"/>
        <v>CP</v>
      </c>
    </row>
    <row r="52" spans="1:19" ht="18.600000000000001" thickBot="1">
      <c r="A52" s="36" t="s">
        <v>167</v>
      </c>
      <c r="B52" s="37">
        <v>45459</v>
      </c>
      <c r="C52" s="38" t="s">
        <v>123</v>
      </c>
      <c r="D52" s="38" t="s">
        <v>124</v>
      </c>
      <c r="E52" s="38" t="s">
        <v>61</v>
      </c>
      <c r="F52" s="38" t="s">
        <v>62</v>
      </c>
      <c r="G52" s="38" t="s">
        <v>19</v>
      </c>
      <c r="H52" s="39">
        <v>5</v>
      </c>
      <c r="I52" s="39">
        <v>899.99</v>
      </c>
      <c r="J52" s="38" t="s">
        <v>34</v>
      </c>
      <c r="K52" s="38" t="s">
        <v>63</v>
      </c>
      <c r="L52" s="38" t="s">
        <v>27</v>
      </c>
      <c r="M52" s="37">
        <v>45278</v>
      </c>
      <c r="N52" s="40">
        <v>4499.95</v>
      </c>
      <c r="O52" s="38">
        <f t="shared" ca="1" si="0"/>
        <v>883</v>
      </c>
      <c r="P52" s="44">
        <f t="shared" ca="1" si="1"/>
        <v>2</v>
      </c>
      <c r="Q52" s="45">
        <f t="shared" si="2"/>
        <v>45535</v>
      </c>
      <c r="R52" s="43">
        <f t="shared" ca="1" si="3"/>
        <v>46276.697382638886</v>
      </c>
      <c r="S52" s="44" t="str">
        <f t="shared" si="4"/>
        <v>MG</v>
      </c>
    </row>
    <row r="53" spans="1:19" ht="18.600000000000001" thickBot="1">
      <c r="A53" s="36" t="s">
        <v>168</v>
      </c>
      <c r="B53" s="37">
        <v>45460</v>
      </c>
      <c r="C53" s="38" t="s">
        <v>158</v>
      </c>
      <c r="D53" s="38" t="s">
        <v>159</v>
      </c>
      <c r="E53" s="38" t="s">
        <v>31</v>
      </c>
      <c r="F53" s="38" t="s">
        <v>32</v>
      </c>
      <c r="G53" s="38" t="s">
        <v>33</v>
      </c>
      <c r="H53" s="39">
        <v>1</v>
      </c>
      <c r="I53" s="39">
        <v>59.99</v>
      </c>
      <c r="J53" s="38" t="s">
        <v>57</v>
      </c>
      <c r="K53" s="38" t="s">
        <v>50</v>
      </c>
      <c r="L53" s="38" t="s">
        <v>27</v>
      </c>
      <c r="M53" s="37">
        <v>45190</v>
      </c>
      <c r="N53" s="40">
        <v>59.99</v>
      </c>
      <c r="O53" s="38">
        <f t="shared" ca="1" si="0"/>
        <v>1311</v>
      </c>
      <c r="P53" s="44">
        <f t="shared" ca="1" si="1"/>
        <v>3</v>
      </c>
      <c r="Q53" s="45">
        <f t="shared" si="2"/>
        <v>45535</v>
      </c>
      <c r="R53" s="43">
        <f t="shared" ca="1" si="3"/>
        <v>46276.697382638886</v>
      </c>
      <c r="S53" s="44" t="str">
        <f t="shared" si="4"/>
        <v>MC</v>
      </c>
    </row>
    <row r="54" spans="1:19" ht="18.600000000000001" thickBot="1">
      <c r="A54" s="36" t="s">
        <v>169</v>
      </c>
      <c r="B54" s="37">
        <v>45460</v>
      </c>
      <c r="C54" s="38" t="s">
        <v>141</v>
      </c>
      <c r="D54" s="38" t="s">
        <v>142</v>
      </c>
      <c r="E54" s="38" t="s">
        <v>105</v>
      </c>
      <c r="F54" s="38" t="s">
        <v>106</v>
      </c>
      <c r="G54" s="38" t="s">
        <v>46</v>
      </c>
      <c r="H54" s="39">
        <v>2</v>
      </c>
      <c r="I54" s="39">
        <v>299.99</v>
      </c>
      <c r="J54" s="38" t="s">
        <v>57</v>
      </c>
      <c r="K54" s="38" t="s">
        <v>63</v>
      </c>
      <c r="L54" s="38" t="s">
        <v>36</v>
      </c>
      <c r="M54" s="37">
        <v>45253</v>
      </c>
      <c r="N54" s="40">
        <v>599.98</v>
      </c>
      <c r="O54" s="38">
        <f t="shared" ca="1" si="0"/>
        <v>1456</v>
      </c>
      <c r="P54" s="44">
        <f t="shared" ca="1" si="1"/>
        <v>3</v>
      </c>
      <c r="Q54" s="45">
        <f t="shared" si="2"/>
        <v>45535</v>
      </c>
      <c r="R54" s="43">
        <f t="shared" ca="1" si="3"/>
        <v>46276.697382638886</v>
      </c>
      <c r="S54" s="44" t="str">
        <f t="shared" si="4"/>
        <v>DM</v>
      </c>
    </row>
    <row r="55" spans="1:19" ht="18.600000000000001" thickBot="1">
      <c r="A55" s="36" t="s">
        <v>170</v>
      </c>
      <c r="B55" s="37">
        <v>45468</v>
      </c>
      <c r="C55" s="38" t="s">
        <v>171</v>
      </c>
      <c r="D55" s="38" t="s">
        <v>172</v>
      </c>
      <c r="E55" s="38" t="s">
        <v>117</v>
      </c>
      <c r="F55" s="38" t="s">
        <v>118</v>
      </c>
      <c r="G55" s="38" t="s">
        <v>19</v>
      </c>
      <c r="H55" s="39">
        <v>4</v>
      </c>
      <c r="I55" s="39">
        <v>89.99</v>
      </c>
      <c r="J55" s="38" t="s">
        <v>57</v>
      </c>
      <c r="K55" s="38" t="s">
        <v>35</v>
      </c>
      <c r="L55" s="38" t="s">
        <v>22</v>
      </c>
      <c r="M55" s="37">
        <v>45281</v>
      </c>
      <c r="N55" s="40">
        <v>359.96</v>
      </c>
      <c r="O55" s="38">
        <f t="shared" ca="1" si="0"/>
        <v>1494</v>
      </c>
      <c r="P55" s="44">
        <f t="shared" ca="1" si="1"/>
        <v>4</v>
      </c>
      <c r="Q55" s="45">
        <f t="shared" si="2"/>
        <v>45535</v>
      </c>
      <c r="R55" s="43">
        <f t="shared" ca="1" si="3"/>
        <v>46276.697382638886</v>
      </c>
      <c r="S55" s="44" t="str">
        <f t="shared" si="4"/>
        <v>MW</v>
      </c>
    </row>
    <row r="56" spans="1:19" ht="18.600000000000001" thickBot="1">
      <c r="A56" s="36" t="s">
        <v>173</v>
      </c>
      <c r="B56" s="37">
        <v>45469</v>
      </c>
      <c r="C56" s="38" t="s">
        <v>29</v>
      </c>
      <c r="D56" s="38" t="s">
        <v>30</v>
      </c>
      <c r="E56" s="38" t="s">
        <v>114</v>
      </c>
      <c r="F56" s="38" t="s">
        <v>115</v>
      </c>
      <c r="G56" s="38" t="s">
        <v>33</v>
      </c>
      <c r="H56" s="39">
        <v>1</v>
      </c>
      <c r="I56" s="39">
        <v>79.989999999999995</v>
      </c>
      <c r="J56" s="38" t="s">
        <v>34</v>
      </c>
      <c r="K56" s="38" t="s">
        <v>21</v>
      </c>
      <c r="L56" s="38" t="s">
        <v>27</v>
      </c>
      <c r="M56" s="37">
        <v>45352</v>
      </c>
      <c r="N56" s="40">
        <v>79.989999999999995</v>
      </c>
      <c r="O56" s="38">
        <f t="shared" ca="1" si="0"/>
        <v>1811</v>
      </c>
      <c r="P56" s="44">
        <f t="shared" ca="1" si="1"/>
        <v>4</v>
      </c>
      <c r="Q56" s="45">
        <f t="shared" si="2"/>
        <v>45535</v>
      </c>
      <c r="R56" s="43">
        <f t="shared" ca="1" si="3"/>
        <v>46276.697382638886</v>
      </c>
      <c r="S56" s="44" t="str">
        <f t="shared" si="4"/>
        <v>KH</v>
      </c>
    </row>
    <row r="57" spans="1:19" ht="18.600000000000001" thickBot="1">
      <c r="A57" s="36" t="s">
        <v>174</v>
      </c>
      <c r="B57" s="37">
        <v>45469</v>
      </c>
      <c r="C57" s="38" t="s">
        <v>59</v>
      </c>
      <c r="D57" s="38" t="s">
        <v>60</v>
      </c>
      <c r="E57" s="38" t="s">
        <v>117</v>
      </c>
      <c r="F57" s="38" t="s">
        <v>118</v>
      </c>
      <c r="G57" s="38" t="s">
        <v>19</v>
      </c>
      <c r="H57" s="39">
        <v>2</v>
      </c>
      <c r="I57" s="39">
        <v>89.99</v>
      </c>
      <c r="J57" s="38" t="s">
        <v>20</v>
      </c>
      <c r="K57" s="38" t="s">
        <v>50</v>
      </c>
      <c r="L57" s="38" t="s">
        <v>22</v>
      </c>
      <c r="M57" s="37">
        <v>44438</v>
      </c>
      <c r="N57" s="40">
        <v>179.98</v>
      </c>
      <c r="O57" s="38">
        <f t="shared" ca="1" si="0"/>
        <v>1818</v>
      </c>
      <c r="P57" s="44">
        <f t="shared" ca="1" si="1"/>
        <v>4</v>
      </c>
      <c r="Q57" s="45">
        <f t="shared" si="2"/>
        <v>45535</v>
      </c>
      <c r="R57" s="43">
        <f t="shared" ca="1" si="3"/>
        <v>46276.697382638886</v>
      </c>
      <c r="S57" s="44" t="str">
        <f t="shared" si="4"/>
        <v>KB</v>
      </c>
    </row>
    <row r="58" spans="1:19" ht="18.600000000000001" thickBot="1">
      <c r="A58" s="36" t="s">
        <v>175</v>
      </c>
      <c r="B58" s="37">
        <v>45471</v>
      </c>
      <c r="C58" s="38" t="s">
        <v>38</v>
      </c>
      <c r="D58" s="38" t="s">
        <v>39</v>
      </c>
      <c r="E58" s="38" t="s">
        <v>80</v>
      </c>
      <c r="F58" s="38" t="s">
        <v>81</v>
      </c>
      <c r="G58" s="38" t="s">
        <v>19</v>
      </c>
      <c r="H58" s="39">
        <v>3</v>
      </c>
      <c r="I58" s="39">
        <v>699.99</v>
      </c>
      <c r="J58" s="38" t="s">
        <v>26</v>
      </c>
      <c r="K58" s="38" t="s">
        <v>63</v>
      </c>
      <c r="L58" s="38" t="s">
        <v>27</v>
      </c>
      <c r="M58" s="37">
        <v>45102</v>
      </c>
      <c r="N58" s="40">
        <v>2099.9699999999998</v>
      </c>
      <c r="O58" s="38">
        <f t="shared" ca="1" si="0"/>
        <v>1285</v>
      </c>
      <c r="P58" s="44">
        <f t="shared" ca="1" si="1"/>
        <v>3</v>
      </c>
      <c r="Q58" s="45">
        <f t="shared" si="2"/>
        <v>45535</v>
      </c>
      <c r="R58" s="43">
        <f t="shared" ca="1" si="3"/>
        <v>46276.697382638886</v>
      </c>
      <c r="S58" s="44" t="str">
        <f t="shared" si="4"/>
        <v>BC</v>
      </c>
    </row>
    <row r="59" spans="1:19" ht="18.600000000000001" thickBot="1">
      <c r="A59" s="36" t="s">
        <v>176</v>
      </c>
      <c r="B59" s="37">
        <v>45471</v>
      </c>
      <c r="C59" s="38" t="s">
        <v>99</v>
      </c>
      <c r="D59" s="38" t="s">
        <v>100</v>
      </c>
      <c r="E59" s="38" t="s">
        <v>61</v>
      </c>
      <c r="F59" s="38" t="s">
        <v>62</v>
      </c>
      <c r="G59" s="38" t="s">
        <v>19</v>
      </c>
      <c r="H59" s="39">
        <v>4</v>
      </c>
      <c r="I59" s="39">
        <v>899.99</v>
      </c>
      <c r="J59" s="38" t="s">
        <v>26</v>
      </c>
      <c r="K59" s="38" t="s">
        <v>63</v>
      </c>
      <c r="L59" s="38" t="s">
        <v>27</v>
      </c>
      <c r="M59" s="37">
        <v>44993</v>
      </c>
      <c r="N59" s="40">
        <v>3599.96</v>
      </c>
      <c r="O59" s="38">
        <f t="shared" ca="1" si="0"/>
        <v>1304</v>
      </c>
      <c r="P59" s="44">
        <f t="shared" ca="1" si="1"/>
        <v>3</v>
      </c>
      <c r="Q59" s="45">
        <f t="shared" si="2"/>
        <v>45535</v>
      </c>
      <c r="R59" s="43">
        <f t="shared" ca="1" si="3"/>
        <v>46276.697382638886</v>
      </c>
      <c r="S59" s="44" t="str">
        <f t="shared" si="4"/>
        <v>MC</v>
      </c>
    </row>
    <row r="60" spans="1:19" ht="18.600000000000001" thickBot="1">
      <c r="A60" s="36" t="s">
        <v>177</v>
      </c>
      <c r="B60" s="37">
        <v>45472</v>
      </c>
      <c r="C60" s="38" t="s">
        <v>120</v>
      </c>
      <c r="D60" s="38" t="s">
        <v>121</v>
      </c>
      <c r="E60" s="38" t="s">
        <v>44</v>
      </c>
      <c r="F60" s="38" t="s">
        <v>45</v>
      </c>
      <c r="G60" s="38" t="s">
        <v>46</v>
      </c>
      <c r="H60" s="39">
        <v>1</v>
      </c>
      <c r="I60" s="39">
        <v>149.99</v>
      </c>
      <c r="J60" s="38" t="s">
        <v>34</v>
      </c>
      <c r="K60" s="38" t="s">
        <v>63</v>
      </c>
      <c r="L60" s="38" t="s">
        <v>22</v>
      </c>
      <c r="M60" s="37">
        <v>44851</v>
      </c>
      <c r="N60" s="40">
        <v>149.99</v>
      </c>
      <c r="O60" s="38">
        <f t="shared" ca="1" si="0"/>
        <v>1750</v>
      </c>
      <c r="P60" s="44">
        <f t="shared" ca="1" si="1"/>
        <v>4</v>
      </c>
      <c r="Q60" s="45">
        <f t="shared" si="2"/>
        <v>45535</v>
      </c>
      <c r="R60" s="43">
        <f t="shared" ca="1" si="3"/>
        <v>46276.697382638886</v>
      </c>
      <c r="S60" s="44" t="str">
        <f t="shared" si="4"/>
        <v>GM</v>
      </c>
    </row>
    <row r="61" spans="1:19" ht="18.600000000000001" thickBot="1">
      <c r="A61" s="36" t="s">
        <v>178</v>
      </c>
      <c r="B61" s="37">
        <v>45474</v>
      </c>
      <c r="C61" s="38" t="s">
        <v>132</v>
      </c>
      <c r="D61" s="38" t="s">
        <v>133</v>
      </c>
      <c r="E61" s="38" t="s">
        <v>117</v>
      </c>
      <c r="F61" s="38" t="s">
        <v>118</v>
      </c>
      <c r="G61" s="38" t="s">
        <v>19</v>
      </c>
      <c r="H61" s="39">
        <v>2</v>
      </c>
      <c r="I61" s="39">
        <v>89.99</v>
      </c>
      <c r="J61" s="38" t="s">
        <v>34</v>
      </c>
      <c r="K61" s="38" t="s">
        <v>21</v>
      </c>
      <c r="L61" s="38" t="s">
        <v>27</v>
      </c>
      <c r="M61" s="37">
        <v>45275</v>
      </c>
      <c r="N61" s="40">
        <v>179.98</v>
      </c>
      <c r="O61" s="38">
        <f t="shared" ca="1" si="0"/>
        <v>1702</v>
      </c>
      <c r="P61" s="44">
        <f t="shared" ca="1" si="1"/>
        <v>4</v>
      </c>
      <c r="Q61" s="45">
        <f t="shared" si="2"/>
        <v>45535</v>
      </c>
      <c r="R61" s="43">
        <f t="shared" ca="1" si="3"/>
        <v>46276.697382638886</v>
      </c>
      <c r="S61" s="44" t="str">
        <f t="shared" si="4"/>
        <v>NC</v>
      </c>
    </row>
    <row r="62" spans="1:19" ht="18.600000000000001" thickBot="1">
      <c r="A62" s="36" t="s">
        <v>179</v>
      </c>
      <c r="B62" s="37">
        <v>45475</v>
      </c>
      <c r="C62" s="38" t="s">
        <v>55</v>
      </c>
      <c r="D62" s="38" t="s">
        <v>56</v>
      </c>
      <c r="E62" s="38" t="s">
        <v>117</v>
      </c>
      <c r="F62" s="38" t="s">
        <v>118</v>
      </c>
      <c r="G62" s="38" t="s">
        <v>19</v>
      </c>
      <c r="H62" s="39">
        <v>1</v>
      </c>
      <c r="I62" s="39">
        <v>89.99</v>
      </c>
      <c r="J62" s="38" t="s">
        <v>34</v>
      </c>
      <c r="K62" s="38" t="s">
        <v>50</v>
      </c>
      <c r="L62" s="38" t="s">
        <v>36</v>
      </c>
      <c r="M62" s="37">
        <v>44802</v>
      </c>
      <c r="N62" s="40">
        <v>89.99</v>
      </c>
      <c r="O62" s="38">
        <f t="shared" ca="1" si="0"/>
        <v>966</v>
      </c>
      <c r="P62" s="44">
        <f t="shared" ca="1" si="1"/>
        <v>2</v>
      </c>
      <c r="Q62" s="45">
        <f t="shared" si="2"/>
        <v>45535</v>
      </c>
      <c r="R62" s="43">
        <f t="shared" ca="1" si="3"/>
        <v>46276.697382638886</v>
      </c>
      <c r="S62" s="44" t="str">
        <f t="shared" si="4"/>
        <v>CP</v>
      </c>
    </row>
    <row r="63" spans="1:19" ht="18.600000000000001" thickBot="1">
      <c r="A63" s="36" t="s">
        <v>180</v>
      </c>
      <c r="B63" s="37">
        <v>45476</v>
      </c>
      <c r="C63" s="38" t="s">
        <v>68</v>
      </c>
      <c r="D63" s="38" t="s">
        <v>69</v>
      </c>
      <c r="E63" s="38" t="s">
        <v>117</v>
      </c>
      <c r="F63" s="38" t="s">
        <v>118</v>
      </c>
      <c r="G63" s="38" t="s">
        <v>19</v>
      </c>
      <c r="H63" s="39">
        <v>1</v>
      </c>
      <c r="I63" s="39">
        <v>89.99</v>
      </c>
      <c r="J63" s="38" t="s">
        <v>20</v>
      </c>
      <c r="K63" s="38" t="s">
        <v>35</v>
      </c>
      <c r="L63" s="38" t="s">
        <v>36</v>
      </c>
      <c r="M63" s="37">
        <v>44611</v>
      </c>
      <c r="N63" s="40">
        <v>89.99</v>
      </c>
      <c r="O63" s="38">
        <f t="shared" ca="1" si="0"/>
        <v>1497</v>
      </c>
      <c r="P63" s="44">
        <f t="shared" ca="1" si="1"/>
        <v>4</v>
      </c>
      <c r="Q63" s="45">
        <f t="shared" si="2"/>
        <v>45535</v>
      </c>
      <c r="R63" s="43">
        <f t="shared" ca="1" si="3"/>
        <v>46276.697382638886</v>
      </c>
      <c r="S63" s="44" t="str">
        <f t="shared" si="4"/>
        <v>LR</v>
      </c>
    </row>
    <row r="64" spans="1:19" ht="18.600000000000001" thickBot="1">
      <c r="A64" s="36" t="s">
        <v>181</v>
      </c>
      <c r="B64" s="37">
        <v>45476</v>
      </c>
      <c r="C64" s="38" t="s">
        <v>182</v>
      </c>
      <c r="D64" s="38" t="s">
        <v>183</v>
      </c>
      <c r="E64" s="38" t="s">
        <v>114</v>
      </c>
      <c r="F64" s="38" t="s">
        <v>115</v>
      </c>
      <c r="G64" s="38" t="s">
        <v>33</v>
      </c>
      <c r="H64" s="39">
        <v>5</v>
      </c>
      <c r="I64" s="39">
        <v>79.989999999999995</v>
      </c>
      <c r="J64" s="38" t="s">
        <v>57</v>
      </c>
      <c r="K64" s="38" t="s">
        <v>21</v>
      </c>
      <c r="L64" s="38" t="s">
        <v>22</v>
      </c>
      <c r="M64" s="37">
        <v>44981</v>
      </c>
      <c r="N64" s="40">
        <v>399.95</v>
      </c>
      <c r="O64" s="38">
        <f t="shared" ca="1" si="0"/>
        <v>1704</v>
      </c>
      <c r="P64" s="44">
        <f t="shared" ca="1" si="1"/>
        <v>4</v>
      </c>
      <c r="Q64" s="45">
        <f t="shared" si="2"/>
        <v>45535</v>
      </c>
      <c r="R64" s="43">
        <f t="shared" ca="1" si="3"/>
        <v>46276.697382638886</v>
      </c>
      <c r="S64" s="44" t="str">
        <f t="shared" si="4"/>
        <v>HM</v>
      </c>
    </row>
    <row r="65" spans="1:19" ht="18.600000000000001" thickBot="1">
      <c r="A65" s="36" t="s">
        <v>184</v>
      </c>
      <c r="B65" s="37">
        <v>45481</v>
      </c>
      <c r="C65" s="38" t="s">
        <v>185</v>
      </c>
      <c r="D65" s="38" t="s">
        <v>186</v>
      </c>
      <c r="E65" s="38" t="s">
        <v>44</v>
      </c>
      <c r="F65" s="38" t="s">
        <v>45</v>
      </c>
      <c r="G65" s="38" t="s">
        <v>46</v>
      </c>
      <c r="H65" s="39">
        <v>1</v>
      </c>
      <c r="I65" s="39">
        <v>149.99</v>
      </c>
      <c r="J65" s="38" t="s">
        <v>34</v>
      </c>
      <c r="K65" s="38" t="s">
        <v>40</v>
      </c>
      <c r="L65" s="38" t="s">
        <v>22</v>
      </c>
      <c r="M65" s="37">
        <v>44421</v>
      </c>
      <c r="N65" s="40">
        <v>149.99</v>
      </c>
      <c r="O65" s="38">
        <f t="shared" ca="1" si="0"/>
        <v>1779</v>
      </c>
      <c r="P65" s="44">
        <f t="shared" ca="1" si="1"/>
        <v>4</v>
      </c>
      <c r="Q65" s="45">
        <f t="shared" si="2"/>
        <v>45535</v>
      </c>
      <c r="R65" s="43">
        <f t="shared" ca="1" si="3"/>
        <v>46276.697382638886</v>
      </c>
      <c r="S65" s="44" t="str">
        <f t="shared" si="4"/>
        <v>GM</v>
      </c>
    </row>
    <row r="66" spans="1:19" ht="18.600000000000001" thickBot="1">
      <c r="A66" s="36" t="s">
        <v>187</v>
      </c>
      <c r="B66" s="37">
        <v>45481</v>
      </c>
      <c r="C66" s="38" t="s">
        <v>42</v>
      </c>
      <c r="D66" s="38" t="s">
        <v>43</v>
      </c>
      <c r="E66" s="38" t="s">
        <v>80</v>
      </c>
      <c r="F66" s="38" t="s">
        <v>81</v>
      </c>
      <c r="G66" s="38" t="s">
        <v>19</v>
      </c>
      <c r="H66" s="39">
        <v>2</v>
      </c>
      <c r="I66" s="39">
        <v>699.99</v>
      </c>
      <c r="J66" s="38" t="s">
        <v>34</v>
      </c>
      <c r="K66" s="38" t="s">
        <v>63</v>
      </c>
      <c r="L66" s="38" t="s">
        <v>27</v>
      </c>
      <c r="M66" s="37">
        <v>45389</v>
      </c>
      <c r="N66" s="40">
        <v>1399.98</v>
      </c>
      <c r="O66" s="38">
        <f t="shared" ref="O66:O129" ca="1" si="5">DATEDIF(M101,TODAY(),"d")</f>
        <v>1064</v>
      </c>
      <c r="P66" s="44">
        <f t="shared" ref="P66:P129" ca="1" si="6">DATEDIF(M101,TODAY(),"y")</f>
        <v>2</v>
      </c>
      <c r="Q66" s="45">
        <f t="shared" ref="Q66:Q129" si="7">EOMONTH(B101,0)</f>
        <v>45535</v>
      </c>
      <c r="R66" s="43">
        <f t="shared" ref="R66:R129" ca="1" si="8">IF(R101="",NOW(),R101)</f>
        <v>46276.697382638886</v>
      </c>
      <c r="S66" s="44" t="str">
        <f t="shared" ref="S66:S129" si="9">UPPER(LEFT(D101,1)&amp;LEFT(_xlfn.TEXTAFTER(D101," "),1))</f>
        <v>CE</v>
      </c>
    </row>
    <row r="67" spans="1:19" ht="18.600000000000001" thickBot="1">
      <c r="A67" s="36" t="s">
        <v>188</v>
      </c>
      <c r="B67" s="37">
        <v>45481</v>
      </c>
      <c r="C67" s="38" t="s">
        <v>96</v>
      </c>
      <c r="D67" s="38" t="s">
        <v>97</v>
      </c>
      <c r="E67" s="38" t="s">
        <v>117</v>
      </c>
      <c r="F67" s="38" t="s">
        <v>118</v>
      </c>
      <c r="G67" s="38" t="s">
        <v>19</v>
      </c>
      <c r="H67" s="39">
        <v>5</v>
      </c>
      <c r="I67" s="39">
        <v>89.99</v>
      </c>
      <c r="J67" s="38" t="s">
        <v>57</v>
      </c>
      <c r="K67" s="38" t="s">
        <v>40</v>
      </c>
      <c r="L67" s="38" t="s">
        <v>27</v>
      </c>
      <c r="M67" s="37">
        <v>45161</v>
      </c>
      <c r="N67" s="40">
        <v>449.95</v>
      </c>
      <c r="O67" s="38">
        <f t="shared" ca="1" si="5"/>
        <v>1855</v>
      </c>
      <c r="P67" s="44">
        <f t="shared" ca="1" si="6"/>
        <v>5</v>
      </c>
      <c r="Q67" s="45">
        <f t="shared" si="7"/>
        <v>45535</v>
      </c>
      <c r="R67" s="43">
        <f t="shared" ca="1" si="8"/>
        <v>46276.697382638886</v>
      </c>
      <c r="S67" s="44" t="str">
        <f t="shared" si="9"/>
        <v>SP</v>
      </c>
    </row>
    <row r="68" spans="1:19" ht="18.600000000000001" thickBot="1">
      <c r="A68" s="36" t="s">
        <v>189</v>
      </c>
      <c r="B68" s="37">
        <v>45482</v>
      </c>
      <c r="C68" s="38" t="s">
        <v>171</v>
      </c>
      <c r="D68" s="38" t="s">
        <v>172</v>
      </c>
      <c r="E68" s="38" t="s">
        <v>31</v>
      </c>
      <c r="F68" s="38" t="s">
        <v>32</v>
      </c>
      <c r="G68" s="38" t="s">
        <v>33</v>
      </c>
      <c r="H68" s="39">
        <v>4</v>
      </c>
      <c r="I68" s="39">
        <v>59.99</v>
      </c>
      <c r="J68" s="38" t="s">
        <v>20</v>
      </c>
      <c r="K68" s="38" t="s">
        <v>35</v>
      </c>
      <c r="L68" s="38" t="s">
        <v>36</v>
      </c>
      <c r="M68" s="37">
        <v>44509</v>
      </c>
      <c r="N68" s="40">
        <v>239.96</v>
      </c>
      <c r="O68" s="38">
        <f t="shared" ca="1" si="5"/>
        <v>1591</v>
      </c>
      <c r="P68" s="44">
        <f t="shared" ca="1" si="6"/>
        <v>4</v>
      </c>
      <c r="Q68" s="45">
        <f t="shared" si="7"/>
        <v>45565</v>
      </c>
      <c r="R68" s="43">
        <f t="shared" ca="1" si="8"/>
        <v>46276.697382638886</v>
      </c>
      <c r="S68" s="44" t="str">
        <f t="shared" si="9"/>
        <v>CE</v>
      </c>
    </row>
    <row r="69" spans="1:19" ht="18.600000000000001" thickBot="1">
      <c r="A69" s="36" t="s">
        <v>190</v>
      </c>
      <c r="B69" s="37">
        <v>45484</v>
      </c>
      <c r="C69" s="38" t="s">
        <v>24</v>
      </c>
      <c r="D69" s="38" t="s">
        <v>25</v>
      </c>
      <c r="E69" s="38" t="s">
        <v>52</v>
      </c>
      <c r="F69" s="38" t="s">
        <v>53</v>
      </c>
      <c r="G69" s="38" t="s">
        <v>19</v>
      </c>
      <c r="H69" s="39">
        <v>1</v>
      </c>
      <c r="I69" s="39">
        <v>149.99</v>
      </c>
      <c r="J69" s="38" t="s">
        <v>20</v>
      </c>
      <c r="K69" s="38" t="s">
        <v>21</v>
      </c>
      <c r="L69" s="38" t="s">
        <v>36</v>
      </c>
      <c r="M69" s="37">
        <v>44909</v>
      </c>
      <c r="N69" s="40">
        <v>149.99</v>
      </c>
      <c r="O69" s="38">
        <f t="shared" ca="1" si="5"/>
        <v>944</v>
      </c>
      <c r="P69" s="44">
        <f t="shared" ca="1" si="6"/>
        <v>2</v>
      </c>
      <c r="Q69" s="45">
        <f t="shared" si="7"/>
        <v>45565</v>
      </c>
      <c r="R69" s="43">
        <f t="shared" ca="1" si="8"/>
        <v>46276.697382638886</v>
      </c>
      <c r="S69" s="44" t="str">
        <f t="shared" si="9"/>
        <v>PB</v>
      </c>
    </row>
    <row r="70" spans="1:19" ht="18.600000000000001" thickBot="1">
      <c r="A70" s="36" t="s">
        <v>191</v>
      </c>
      <c r="B70" s="37">
        <v>45484</v>
      </c>
      <c r="C70" s="38" t="s">
        <v>192</v>
      </c>
      <c r="D70" s="38" t="s">
        <v>193</v>
      </c>
      <c r="E70" s="38" t="s">
        <v>105</v>
      </c>
      <c r="F70" s="38" t="s">
        <v>106</v>
      </c>
      <c r="G70" s="38" t="s">
        <v>46</v>
      </c>
      <c r="H70" s="39">
        <v>1</v>
      </c>
      <c r="I70" s="39">
        <v>299.99</v>
      </c>
      <c r="J70" s="38" t="s">
        <v>26</v>
      </c>
      <c r="K70" s="38" t="s">
        <v>40</v>
      </c>
      <c r="L70" s="38" t="s">
        <v>27</v>
      </c>
      <c r="M70" s="37">
        <v>44891</v>
      </c>
      <c r="N70" s="40">
        <v>299.99</v>
      </c>
      <c r="O70" s="38">
        <f t="shared" ca="1" si="5"/>
        <v>1406</v>
      </c>
      <c r="P70" s="44">
        <f t="shared" ca="1" si="6"/>
        <v>3</v>
      </c>
      <c r="Q70" s="45">
        <f t="shared" si="7"/>
        <v>45565</v>
      </c>
      <c r="R70" s="43">
        <f t="shared" ca="1" si="8"/>
        <v>46276.697382638886</v>
      </c>
      <c r="S70" s="44" t="str">
        <f t="shared" si="9"/>
        <v>LR</v>
      </c>
    </row>
    <row r="71" spans="1:19" ht="18.600000000000001" thickBot="1">
      <c r="A71" s="36" t="s">
        <v>194</v>
      </c>
      <c r="B71" s="37">
        <v>45487</v>
      </c>
      <c r="C71" s="38" t="s">
        <v>192</v>
      </c>
      <c r="D71" s="38" t="s">
        <v>193</v>
      </c>
      <c r="E71" s="38" t="s">
        <v>126</v>
      </c>
      <c r="F71" s="38" t="s">
        <v>127</v>
      </c>
      <c r="G71" s="38" t="s">
        <v>46</v>
      </c>
      <c r="H71" s="39">
        <v>2</v>
      </c>
      <c r="I71" s="39">
        <v>199.99</v>
      </c>
      <c r="J71" s="38" t="s">
        <v>20</v>
      </c>
      <c r="K71" s="38" t="s">
        <v>40</v>
      </c>
      <c r="L71" s="38" t="s">
        <v>22</v>
      </c>
      <c r="M71" s="37">
        <v>44541</v>
      </c>
      <c r="N71" s="40">
        <v>399.98</v>
      </c>
      <c r="O71" s="38">
        <f t="shared" ca="1" si="5"/>
        <v>1559</v>
      </c>
      <c r="P71" s="44">
        <f t="shared" ca="1" si="6"/>
        <v>4</v>
      </c>
      <c r="Q71" s="45">
        <f t="shared" si="7"/>
        <v>45565</v>
      </c>
      <c r="R71" s="43">
        <f t="shared" ca="1" si="8"/>
        <v>46276.697382638886</v>
      </c>
      <c r="S71" s="44" t="str">
        <f t="shared" si="9"/>
        <v>ST</v>
      </c>
    </row>
    <row r="72" spans="1:19" ht="18.600000000000001" thickBot="1">
      <c r="A72" s="36" t="s">
        <v>195</v>
      </c>
      <c r="B72" s="37">
        <v>45490</v>
      </c>
      <c r="C72" s="38" t="s">
        <v>196</v>
      </c>
      <c r="D72" s="38" t="s">
        <v>197</v>
      </c>
      <c r="E72" s="38" t="s">
        <v>31</v>
      </c>
      <c r="F72" s="38" t="s">
        <v>32</v>
      </c>
      <c r="G72" s="38" t="s">
        <v>33</v>
      </c>
      <c r="H72" s="39">
        <v>3</v>
      </c>
      <c r="I72" s="39">
        <v>59.99</v>
      </c>
      <c r="J72" s="38" t="s">
        <v>26</v>
      </c>
      <c r="K72" s="38" t="s">
        <v>50</v>
      </c>
      <c r="L72" s="38" t="s">
        <v>22</v>
      </c>
      <c r="M72" s="37">
        <v>45130</v>
      </c>
      <c r="N72" s="40">
        <v>179.97</v>
      </c>
      <c r="O72" s="38">
        <f t="shared" ca="1" si="5"/>
        <v>1528</v>
      </c>
      <c r="P72" s="44">
        <f t="shared" ca="1" si="6"/>
        <v>4</v>
      </c>
      <c r="Q72" s="45">
        <f t="shared" si="7"/>
        <v>45565</v>
      </c>
      <c r="R72" s="43">
        <f t="shared" ca="1" si="8"/>
        <v>46276.697382638886</v>
      </c>
      <c r="S72" s="44" t="str">
        <f t="shared" si="9"/>
        <v>EW</v>
      </c>
    </row>
    <row r="73" spans="1:19" ht="18.600000000000001" thickBot="1">
      <c r="A73" s="36" t="s">
        <v>198</v>
      </c>
      <c r="B73" s="37">
        <v>45490</v>
      </c>
      <c r="C73" s="38" t="s">
        <v>72</v>
      </c>
      <c r="D73" s="38" t="s">
        <v>73</v>
      </c>
      <c r="E73" s="38" t="s">
        <v>44</v>
      </c>
      <c r="F73" s="38" t="s">
        <v>45</v>
      </c>
      <c r="G73" s="38" t="s">
        <v>46</v>
      </c>
      <c r="H73" s="39">
        <v>3</v>
      </c>
      <c r="I73" s="39">
        <v>149.99</v>
      </c>
      <c r="J73" s="38" t="s">
        <v>20</v>
      </c>
      <c r="K73" s="38" t="s">
        <v>21</v>
      </c>
      <c r="L73" s="38" t="s">
        <v>27</v>
      </c>
      <c r="M73" s="37">
        <v>45199</v>
      </c>
      <c r="N73" s="40">
        <v>449.97</v>
      </c>
      <c r="O73" s="38">
        <f t="shared" ca="1" si="5"/>
        <v>1746</v>
      </c>
      <c r="P73" s="44">
        <f t="shared" ca="1" si="6"/>
        <v>4</v>
      </c>
      <c r="Q73" s="45">
        <f t="shared" si="7"/>
        <v>45565</v>
      </c>
      <c r="R73" s="43">
        <f t="shared" ca="1" si="8"/>
        <v>46276.697382638886</v>
      </c>
      <c r="S73" s="44" t="str">
        <f t="shared" si="9"/>
        <v>JT</v>
      </c>
    </row>
    <row r="74" spans="1:19" ht="18.600000000000001" thickBot="1">
      <c r="A74" s="36" t="s">
        <v>199</v>
      </c>
      <c r="B74" s="37">
        <v>45491</v>
      </c>
      <c r="C74" s="38" t="s">
        <v>65</v>
      </c>
      <c r="D74" s="38" t="s">
        <v>66</v>
      </c>
      <c r="E74" s="38" t="s">
        <v>126</v>
      </c>
      <c r="F74" s="38" t="s">
        <v>127</v>
      </c>
      <c r="G74" s="38" t="s">
        <v>46</v>
      </c>
      <c r="H74" s="39">
        <v>3</v>
      </c>
      <c r="I74" s="39">
        <v>199.99</v>
      </c>
      <c r="J74" s="38" t="s">
        <v>20</v>
      </c>
      <c r="K74" s="38" t="s">
        <v>40</v>
      </c>
      <c r="L74" s="38" t="s">
        <v>27</v>
      </c>
      <c r="M74" s="37">
        <v>45254</v>
      </c>
      <c r="N74" s="40">
        <v>599.97</v>
      </c>
      <c r="O74" s="38">
        <f t="shared" ca="1" si="5"/>
        <v>1583</v>
      </c>
      <c r="P74" s="44">
        <f t="shared" ca="1" si="6"/>
        <v>4</v>
      </c>
      <c r="Q74" s="45">
        <f t="shared" si="7"/>
        <v>45565</v>
      </c>
      <c r="R74" s="43">
        <f t="shared" ca="1" si="8"/>
        <v>46276.697382638886</v>
      </c>
      <c r="S74" s="44" t="str">
        <f t="shared" si="9"/>
        <v>CA</v>
      </c>
    </row>
    <row r="75" spans="1:19" ht="18.600000000000001" thickBot="1">
      <c r="A75" s="36" t="s">
        <v>200</v>
      </c>
      <c r="B75" s="37">
        <v>45496</v>
      </c>
      <c r="C75" s="38" t="s">
        <v>150</v>
      </c>
      <c r="D75" s="38" t="s">
        <v>151</v>
      </c>
      <c r="E75" s="38" t="s">
        <v>61</v>
      </c>
      <c r="F75" s="38" t="s">
        <v>62</v>
      </c>
      <c r="G75" s="38" t="s">
        <v>19</v>
      </c>
      <c r="H75" s="39">
        <v>1</v>
      </c>
      <c r="I75" s="39">
        <v>899.99</v>
      </c>
      <c r="J75" s="38" t="s">
        <v>20</v>
      </c>
      <c r="K75" s="38" t="s">
        <v>21</v>
      </c>
      <c r="L75" s="38" t="s">
        <v>36</v>
      </c>
      <c r="M75" s="37">
        <v>45179</v>
      </c>
      <c r="N75" s="40">
        <v>899.99</v>
      </c>
      <c r="O75" s="38">
        <f t="shared" ca="1" si="5"/>
        <v>1782</v>
      </c>
      <c r="P75" s="44">
        <f t="shared" ca="1" si="6"/>
        <v>4</v>
      </c>
      <c r="Q75" s="45">
        <f t="shared" si="7"/>
        <v>45565</v>
      </c>
      <c r="R75" s="43">
        <f t="shared" ca="1" si="8"/>
        <v>46276.697382638886</v>
      </c>
      <c r="S75" s="44" t="str">
        <f t="shared" si="9"/>
        <v>DN</v>
      </c>
    </row>
    <row r="76" spans="1:19" ht="18.600000000000001" thickBot="1">
      <c r="A76" s="36" t="s">
        <v>201</v>
      </c>
      <c r="B76" s="37">
        <v>45497</v>
      </c>
      <c r="C76" s="38" t="s">
        <v>24</v>
      </c>
      <c r="D76" s="38" t="s">
        <v>25</v>
      </c>
      <c r="E76" s="38" t="s">
        <v>61</v>
      </c>
      <c r="F76" s="38" t="s">
        <v>62</v>
      </c>
      <c r="G76" s="38" t="s">
        <v>19</v>
      </c>
      <c r="H76" s="39">
        <v>5</v>
      </c>
      <c r="I76" s="39">
        <v>899.99</v>
      </c>
      <c r="J76" s="38" t="s">
        <v>57</v>
      </c>
      <c r="K76" s="38" t="s">
        <v>35</v>
      </c>
      <c r="L76" s="38" t="s">
        <v>36</v>
      </c>
      <c r="M76" s="37">
        <v>44899</v>
      </c>
      <c r="N76" s="40">
        <v>4499.95</v>
      </c>
      <c r="O76" s="38">
        <f t="shared" ca="1" si="5"/>
        <v>1635</v>
      </c>
      <c r="P76" s="44">
        <f t="shared" ca="1" si="6"/>
        <v>4</v>
      </c>
      <c r="Q76" s="45">
        <f t="shared" si="7"/>
        <v>45565</v>
      </c>
      <c r="R76" s="43">
        <f t="shared" ca="1" si="8"/>
        <v>46276.697382638886</v>
      </c>
      <c r="S76" s="44" t="str">
        <f t="shared" si="9"/>
        <v>KB</v>
      </c>
    </row>
    <row r="77" spans="1:19" ht="18.600000000000001" thickBot="1">
      <c r="A77" s="36" t="s">
        <v>202</v>
      </c>
      <c r="B77" s="37">
        <v>45498</v>
      </c>
      <c r="C77" s="38" t="s">
        <v>182</v>
      </c>
      <c r="D77" s="38" t="s">
        <v>183</v>
      </c>
      <c r="E77" s="38" t="s">
        <v>31</v>
      </c>
      <c r="F77" s="38" t="s">
        <v>32</v>
      </c>
      <c r="G77" s="38" t="s">
        <v>33</v>
      </c>
      <c r="H77" s="39">
        <v>2</v>
      </c>
      <c r="I77" s="39">
        <v>59.99</v>
      </c>
      <c r="J77" s="38" t="s">
        <v>20</v>
      </c>
      <c r="K77" s="38" t="s">
        <v>40</v>
      </c>
      <c r="L77" s="38" t="s">
        <v>36</v>
      </c>
      <c r="M77" s="37">
        <v>45152</v>
      </c>
      <c r="N77" s="40">
        <v>119.98</v>
      </c>
      <c r="O77" s="38">
        <f t="shared" ca="1" si="5"/>
        <v>1367</v>
      </c>
      <c r="P77" s="44">
        <f t="shared" ca="1" si="6"/>
        <v>3</v>
      </c>
      <c r="Q77" s="45">
        <f t="shared" si="7"/>
        <v>45565</v>
      </c>
      <c r="R77" s="43">
        <f t="shared" ca="1" si="8"/>
        <v>46276.697382638886</v>
      </c>
      <c r="S77" s="44" t="str">
        <f t="shared" si="9"/>
        <v>RB</v>
      </c>
    </row>
    <row r="78" spans="1:19" ht="18.600000000000001" thickBot="1">
      <c r="A78" s="36" t="s">
        <v>203</v>
      </c>
      <c r="B78" s="37">
        <v>45498</v>
      </c>
      <c r="C78" s="38" t="s">
        <v>196</v>
      </c>
      <c r="D78" s="38" t="s">
        <v>197</v>
      </c>
      <c r="E78" s="38" t="s">
        <v>17</v>
      </c>
      <c r="F78" s="38" t="s">
        <v>18</v>
      </c>
      <c r="G78" s="38" t="s">
        <v>19</v>
      </c>
      <c r="H78" s="39">
        <v>4</v>
      </c>
      <c r="I78" s="39">
        <v>249.99</v>
      </c>
      <c r="J78" s="38" t="s">
        <v>57</v>
      </c>
      <c r="K78" s="38" t="s">
        <v>21</v>
      </c>
      <c r="L78" s="38" t="s">
        <v>36</v>
      </c>
      <c r="M78" s="37">
        <v>45127</v>
      </c>
      <c r="N78" s="40">
        <v>999.96</v>
      </c>
      <c r="O78" s="38">
        <f t="shared" ca="1" si="5"/>
        <v>1283</v>
      </c>
      <c r="P78" s="44">
        <f t="shared" ca="1" si="6"/>
        <v>3</v>
      </c>
      <c r="Q78" s="45">
        <f t="shared" si="7"/>
        <v>45565</v>
      </c>
      <c r="R78" s="43">
        <f t="shared" ca="1" si="8"/>
        <v>46276.697382638886</v>
      </c>
      <c r="S78" s="44" t="str">
        <f t="shared" si="9"/>
        <v>KH</v>
      </c>
    </row>
    <row r="79" spans="1:19" ht="18.600000000000001" thickBot="1">
      <c r="A79" s="36" t="s">
        <v>204</v>
      </c>
      <c r="B79" s="37">
        <v>45500</v>
      </c>
      <c r="C79" s="38" t="s">
        <v>96</v>
      </c>
      <c r="D79" s="38" t="s">
        <v>97</v>
      </c>
      <c r="E79" s="38" t="s">
        <v>17</v>
      </c>
      <c r="F79" s="38" t="s">
        <v>18</v>
      </c>
      <c r="G79" s="38" t="s">
        <v>19</v>
      </c>
      <c r="H79" s="39">
        <v>2</v>
      </c>
      <c r="I79" s="39">
        <v>249.99</v>
      </c>
      <c r="J79" s="38" t="s">
        <v>20</v>
      </c>
      <c r="K79" s="38" t="s">
        <v>40</v>
      </c>
      <c r="L79" s="38" t="s">
        <v>27</v>
      </c>
      <c r="M79" s="37">
        <v>45164</v>
      </c>
      <c r="N79" s="40">
        <v>499.98</v>
      </c>
      <c r="O79" s="38">
        <f t="shared" ca="1" si="5"/>
        <v>1818</v>
      </c>
      <c r="P79" s="44">
        <f t="shared" ca="1" si="6"/>
        <v>4</v>
      </c>
      <c r="Q79" s="45">
        <f t="shared" si="7"/>
        <v>45565</v>
      </c>
      <c r="R79" s="43">
        <f t="shared" ca="1" si="8"/>
        <v>46276.697382638886</v>
      </c>
      <c r="S79" s="44" t="str">
        <f t="shared" si="9"/>
        <v>SD</v>
      </c>
    </row>
    <row r="80" spans="1:19" ht="18.600000000000001" thickBot="1">
      <c r="A80" s="36" t="s">
        <v>205</v>
      </c>
      <c r="B80" s="37">
        <v>45500</v>
      </c>
      <c r="C80" s="38" t="s">
        <v>147</v>
      </c>
      <c r="D80" s="38" t="s">
        <v>148</v>
      </c>
      <c r="E80" s="38" t="s">
        <v>105</v>
      </c>
      <c r="F80" s="38" t="s">
        <v>106</v>
      </c>
      <c r="G80" s="38" t="s">
        <v>46</v>
      </c>
      <c r="H80" s="39">
        <v>1</v>
      </c>
      <c r="I80" s="39">
        <v>299.99</v>
      </c>
      <c r="J80" s="38" t="s">
        <v>20</v>
      </c>
      <c r="K80" s="38" t="s">
        <v>35</v>
      </c>
      <c r="L80" s="38" t="s">
        <v>22</v>
      </c>
      <c r="M80" s="37">
        <v>44982</v>
      </c>
      <c r="N80" s="40">
        <v>299.99</v>
      </c>
      <c r="O80" s="38">
        <f t="shared" ca="1" si="5"/>
        <v>1830</v>
      </c>
      <c r="P80" s="44">
        <f t="shared" ca="1" si="6"/>
        <v>5</v>
      </c>
      <c r="Q80" s="45">
        <f t="shared" si="7"/>
        <v>45565</v>
      </c>
      <c r="R80" s="43">
        <f t="shared" ca="1" si="8"/>
        <v>46276.697382638886</v>
      </c>
      <c r="S80" s="44" t="str">
        <f t="shared" si="9"/>
        <v>DK</v>
      </c>
    </row>
    <row r="81" spans="1:19" ht="18.600000000000001" thickBot="1">
      <c r="A81" s="36" t="s">
        <v>206</v>
      </c>
      <c r="B81" s="37">
        <v>45501</v>
      </c>
      <c r="C81" s="38" t="s">
        <v>86</v>
      </c>
      <c r="D81" s="38" t="s">
        <v>87</v>
      </c>
      <c r="E81" s="38" t="s">
        <v>117</v>
      </c>
      <c r="F81" s="38" t="s">
        <v>118</v>
      </c>
      <c r="G81" s="38" t="s">
        <v>19</v>
      </c>
      <c r="H81" s="39">
        <v>2</v>
      </c>
      <c r="I81" s="39">
        <v>89.99</v>
      </c>
      <c r="J81" s="38" t="s">
        <v>34</v>
      </c>
      <c r="K81" s="38" t="s">
        <v>35</v>
      </c>
      <c r="L81" s="38" t="s">
        <v>22</v>
      </c>
      <c r="M81" s="37">
        <v>44976</v>
      </c>
      <c r="N81" s="40">
        <v>179.98</v>
      </c>
      <c r="O81" s="38">
        <f t="shared" ca="1" si="5"/>
        <v>1794</v>
      </c>
      <c r="P81" s="44">
        <f t="shared" ca="1" si="6"/>
        <v>4</v>
      </c>
      <c r="Q81" s="45">
        <f t="shared" si="7"/>
        <v>45565</v>
      </c>
      <c r="R81" s="43">
        <f t="shared" ca="1" si="8"/>
        <v>46276.697382638886</v>
      </c>
      <c r="S81" s="44" t="str">
        <f t="shared" si="9"/>
        <v>WW</v>
      </c>
    </row>
    <row r="82" spans="1:19" ht="18.600000000000001" thickBot="1">
      <c r="A82" s="36" t="s">
        <v>207</v>
      </c>
      <c r="B82" s="37">
        <v>45501</v>
      </c>
      <c r="C82" s="38" t="s">
        <v>147</v>
      </c>
      <c r="D82" s="38" t="s">
        <v>148</v>
      </c>
      <c r="E82" s="38" t="s">
        <v>105</v>
      </c>
      <c r="F82" s="38" t="s">
        <v>106</v>
      </c>
      <c r="G82" s="38" t="s">
        <v>46</v>
      </c>
      <c r="H82" s="39">
        <v>3</v>
      </c>
      <c r="I82" s="39">
        <v>299.99</v>
      </c>
      <c r="J82" s="38" t="s">
        <v>20</v>
      </c>
      <c r="K82" s="38" t="s">
        <v>21</v>
      </c>
      <c r="L82" s="38" t="s">
        <v>22</v>
      </c>
      <c r="M82" s="37">
        <v>44732</v>
      </c>
      <c r="N82" s="40">
        <v>899.97</v>
      </c>
      <c r="O82" s="38">
        <f t="shared" ca="1" si="5"/>
        <v>1658</v>
      </c>
      <c r="P82" s="44">
        <f t="shared" ca="1" si="6"/>
        <v>4</v>
      </c>
      <c r="Q82" s="45">
        <f t="shared" si="7"/>
        <v>45565</v>
      </c>
      <c r="R82" s="43">
        <f t="shared" ca="1" si="8"/>
        <v>46276.697382638886</v>
      </c>
      <c r="S82" s="44" t="str">
        <f t="shared" si="9"/>
        <v>PR</v>
      </c>
    </row>
    <row r="83" spans="1:19" ht="18.600000000000001" thickBot="1">
      <c r="A83" s="36" t="s">
        <v>208</v>
      </c>
      <c r="B83" s="37">
        <v>45503</v>
      </c>
      <c r="C83" s="38" t="s">
        <v>86</v>
      </c>
      <c r="D83" s="38" t="s">
        <v>87</v>
      </c>
      <c r="E83" s="38" t="s">
        <v>80</v>
      </c>
      <c r="F83" s="38" t="s">
        <v>81</v>
      </c>
      <c r="G83" s="38" t="s">
        <v>19</v>
      </c>
      <c r="H83" s="39">
        <v>2</v>
      </c>
      <c r="I83" s="39">
        <v>699.99</v>
      </c>
      <c r="J83" s="38" t="s">
        <v>26</v>
      </c>
      <c r="K83" s="38" t="s">
        <v>40</v>
      </c>
      <c r="L83" s="38" t="s">
        <v>27</v>
      </c>
      <c r="M83" s="37">
        <v>44999</v>
      </c>
      <c r="N83" s="40">
        <v>1399.98</v>
      </c>
      <c r="O83" s="38">
        <f t="shared" ca="1" si="5"/>
        <v>1119</v>
      </c>
      <c r="P83" s="44">
        <f t="shared" ca="1" si="6"/>
        <v>3</v>
      </c>
      <c r="Q83" s="45">
        <f t="shared" si="7"/>
        <v>45565</v>
      </c>
      <c r="R83" s="43">
        <f t="shared" ca="1" si="8"/>
        <v>46276.697382638886</v>
      </c>
      <c r="S83" s="44" t="str">
        <f t="shared" si="9"/>
        <v>SP</v>
      </c>
    </row>
    <row r="84" spans="1:19" ht="18.600000000000001" thickBot="1">
      <c r="A84" s="36" t="s">
        <v>209</v>
      </c>
      <c r="B84" s="37">
        <v>45504</v>
      </c>
      <c r="C84" s="38" t="s">
        <v>120</v>
      </c>
      <c r="D84" s="38" t="s">
        <v>121</v>
      </c>
      <c r="E84" s="38" t="s">
        <v>61</v>
      </c>
      <c r="F84" s="38" t="s">
        <v>62</v>
      </c>
      <c r="G84" s="38" t="s">
        <v>19</v>
      </c>
      <c r="H84" s="39">
        <v>4</v>
      </c>
      <c r="I84" s="39">
        <v>899.99</v>
      </c>
      <c r="J84" s="38" t="s">
        <v>57</v>
      </c>
      <c r="K84" s="38" t="s">
        <v>35</v>
      </c>
      <c r="L84" s="38" t="s">
        <v>36</v>
      </c>
      <c r="M84" s="37">
        <v>44523</v>
      </c>
      <c r="N84" s="40">
        <v>3599.96</v>
      </c>
      <c r="O84" s="38">
        <f t="shared" ca="1" si="5"/>
        <v>1390</v>
      </c>
      <c r="P84" s="44">
        <f t="shared" ca="1" si="6"/>
        <v>3</v>
      </c>
      <c r="Q84" s="45">
        <f t="shared" si="7"/>
        <v>45565</v>
      </c>
      <c r="R84" s="43">
        <f t="shared" ca="1" si="8"/>
        <v>46276.697382638886</v>
      </c>
      <c r="S84" s="44" t="str">
        <f t="shared" si="9"/>
        <v>LM</v>
      </c>
    </row>
    <row r="85" spans="1:19" ht="18.600000000000001" thickBot="1">
      <c r="A85" s="36" t="s">
        <v>210</v>
      </c>
      <c r="B85" s="37">
        <v>45509</v>
      </c>
      <c r="C85" s="38" t="s">
        <v>211</v>
      </c>
      <c r="D85" s="38" t="s">
        <v>212</v>
      </c>
      <c r="E85" s="38" t="s">
        <v>44</v>
      </c>
      <c r="F85" s="38" t="s">
        <v>45</v>
      </c>
      <c r="G85" s="38" t="s">
        <v>46</v>
      </c>
      <c r="H85" s="39">
        <v>2</v>
      </c>
      <c r="I85" s="39">
        <v>149.99</v>
      </c>
      <c r="J85" s="38" t="s">
        <v>26</v>
      </c>
      <c r="K85" s="38" t="s">
        <v>50</v>
      </c>
      <c r="L85" s="38" t="s">
        <v>22</v>
      </c>
      <c r="M85" s="37">
        <v>44542</v>
      </c>
      <c r="N85" s="40">
        <v>299.98</v>
      </c>
      <c r="O85" s="38">
        <f t="shared" ca="1" si="5"/>
        <v>1707</v>
      </c>
      <c r="P85" s="44">
        <f t="shared" ca="1" si="6"/>
        <v>4</v>
      </c>
      <c r="Q85" s="45">
        <f t="shared" si="7"/>
        <v>45565</v>
      </c>
      <c r="R85" s="43">
        <f t="shared" ca="1" si="8"/>
        <v>46276.697382638886</v>
      </c>
      <c r="S85" s="44" t="str">
        <f t="shared" si="9"/>
        <v>PM</v>
      </c>
    </row>
    <row r="86" spans="1:19" ht="18.600000000000001" thickBot="1">
      <c r="A86" s="36" t="s">
        <v>213</v>
      </c>
      <c r="B86" s="37">
        <v>45510</v>
      </c>
      <c r="C86" s="38" t="s">
        <v>102</v>
      </c>
      <c r="D86" s="38" t="s">
        <v>103</v>
      </c>
      <c r="E86" s="38" t="s">
        <v>44</v>
      </c>
      <c r="F86" s="38" t="s">
        <v>45</v>
      </c>
      <c r="G86" s="38" t="s">
        <v>46</v>
      </c>
      <c r="H86" s="39">
        <v>2</v>
      </c>
      <c r="I86" s="39">
        <v>149.99</v>
      </c>
      <c r="J86" s="38" t="s">
        <v>57</v>
      </c>
      <c r="K86" s="38" t="s">
        <v>63</v>
      </c>
      <c r="L86" s="38" t="s">
        <v>36</v>
      </c>
      <c r="M86" s="37">
        <v>44667</v>
      </c>
      <c r="N86" s="40">
        <v>299.98</v>
      </c>
      <c r="O86" s="38">
        <f t="shared" ca="1" si="5"/>
        <v>1323</v>
      </c>
      <c r="P86" s="44">
        <f t="shared" ca="1" si="6"/>
        <v>3</v>
      </c>
      <c r="Q86" s="45">
        <f t="shared" si="7"/>
        <v>45565</v>
      </c>
      <c r="R86" s="43">
        <f t="shared" ca="1" si="8"/>
        <v>46276.697382638886</v>
      </c>
      <c r="S86" s="44" t="str">
        <f t="shared" si="9"/>
        <v>RL</v>
      </c>
    </row>
    <row r="87" spans="1:19" ht="18.600000000000001" thickBot="1">
      <c r="A87" s="36" t="s">
        <v>214</v>
      </c>
      <c r="B87" s="37">
        <v>45513</v>
      </c>
      <c r="C87" s="38" t="s">
        <v>89</v>
      </c>
      <c r="D87" s="38" t="s">
        <v>90</v>
      </c>
      <c r="E87" s="38" t="s">
        <v>117</v>
      </c>
      <c r="F87" s="38" t="s">
        <v>118</v>
      </c>
      <c r="G87" s="38" t="s">
        <v>19</v>
      </c>
      <c r="H87" s="39">
        <v>1</v>
      </c>
      <c r="I87" s="39">
        <v>89.99</v>
      </c>
      <c r="J87" s="38" t="s">
        <v>26</v>
      </c>
      <c r="K87" s="38" t="s">
        <v>40</v>
      </c>
      <c r="L87" s="38" t="s">
        <v>36</v>
      </c>
      <c r="M87" s="37">
        <v>45393</v>
      </c>
      <c r="N87" s="40">
        <v>89.99</v>
      </c>
      <c r="O87" s="38">
        <f t="shared" ca="1" si="5"/>
        <v>1816</v>
      </c>
      <c r="P87" s="44">
        <f t="shared" ca="1" si="6"/>
        <v>4</v>
      </c>
      <c r="Q87" s="45">
        <f t="shared" si="7"/>
        <v>45596</v>
      </c>
      <c r="R87" s="43">
        <f t="shared" ca="1" si="8"/>
        <v>46276.697382638886</v>
      </c>
      <c r="S87" s="44" t="str">
        <f t="shared" si="9"/>
        <v>MB</v>
      </c>
    </row>
    <row r="88" spans="1:19" ht="18.600000000000001" thickBot="1">
      <c r="A88" s="36" t="s">
        <v>215</v>
      </c>
      <c r="B88" s="37">
        <v>45515</v>
      </c>
      <c r="C88" s="38" t="s">
        <v>86</v>
      </c>
      <c r="D88" s="38" t="s">
        <v>87</v>
      </c>
      <c r="E88" s="38" t="s">
        <v>105</v>
      </c>
      <c r="F88" s="38" t="s">
        <v>106</v>
      </c>
      <c r="G88" s="38" t="s">
        <v>46</v>
      </c>
      <c r="H88" s="39">
        <v>5</v>
      </c>
      <c r="I88" s="39">
        <v>299.99</v>
      </c>
      <c r="J88" s="38" t="s">
        <v>26</v>
      </c>
      <c r="K88" s="38" t="s">
        <v>40</v>
      </c>
      <c r="L88" s="38" t="s">
        <v>22</v>
      </c>
      <c r="M88" s="37">
        <v>44965</v>
      </c>
      <c r="N88" s="40">
        <v>1499.95</v>
      </c>
      <c r="O88" s="38">
        <f t="shared" ca="1" si="5"/>
        <v>1697</v>
      </c>
      <c r="P88" s="44">
        <f t="shared" ca="1" si="6"/>
        <v>4</v>
      </c>
      <c r="Q88" s="45">
        <f t="shared" si="7"/>
        <v>45596</v>
      </c>
      <c r="R88" s="43">
        <f t="shared" ca="1" si="8"/>
        <v>46276.697382638886</v>
      </c>
      <c r="S88" s="44" t="str">
        <f t="shared" si="9"/>
        <v>MG</v>
      </c>
    </row>
    <row r="89" spans="1:19" ht="18.600000000000001" thickBot="1">
      <c r="A89" s="36" t="s">
        <v>216</v>
      </c>
      <c r="B89" s="37">
        <v>45517</v>
      </c>
      <c r="C89" s="38" t="s">
        <v>182</v>
      </c>
      <c r="D89" s="38" t="s">
        <v>183</v>
      </c>
      <c r="E89" s="38" t="s">
        <v>52</v>
      </c>
      <c r="F89" s="38" t="s">
        <v>53</v>
      </c>
      <c r="G89" s="38" t="s">
        <v>19</v>
      </c>
      <c r="H89" s="39">
        <v>4</v>
      </c>
      <c r="I89" s="39">
        <v>149.99</v>
      </c>
      <c r="J89" s="38" t="s">
        <v>57</v>
      </c>
      <c r="K89" s="38" t="s">
        <v>35</v>
      </c>
      <c r="L89" s="38" t="s">
        <v>27</v>
      </c>
      <c r="M89" s="37">
        <v>44820</v>
      </c>
      <c r="N89" s="40">
        <v>599.96</v>
      </c>
      <c r="O89" s="38">
        <f t="shared" ca="1" si="5"/>
        <v>1200</v>
      </c>
      <c r="P89" s="44">
        <f t="shared" ca="1" si="6"/>
        <v>3</v>
      </c>
      <c r="Q89" s="45">
        <f t="shared" si="7"/>
        <v>45596</v>
      </c>
      <c r="R89" s="43">
        <f t="shared" ca="1" si="8"/>
        <v>46276.697382638886</v>
      </c>
      <c r="S89" s="44" t="str">
        <f t="shared" si="9"/>
        <v>SP</v>
      </c>
    </row>
    <row r="90" spans="1:19" ht="18.600000000000001" thickBot="1">
      <c r="A90" s="36" t="s">
        <v>217</v>
      </c>
      <c r="B90" s="37">
        <v>45517</v>
      </c>
      <c r="C90" s="38" t="s">
        <v>185</v>
      </c>
      <c r="D90" s="38" t="s">
        <v>186</v>
      </c>
      <c r="E90" s="38" t="s">
        <v>17</v>
      </c>
      <c r="F90" s="38" t="s">
        <v>18</v>
      </c>
      <c r="G90" s="38" t="s">
        <v>19</v>
      </c>
      <c r="H90" s="39">
        <v>5</v>
      </c>
      <c r="I90" s="39">
        <v>249.99</v>
      </c>
      <c r="J90" s="38" t="s">
        <v>34</v>
      </c>
      <c r="K90" s="38" t="s">
        <v>63</v>
      </c>
      <c r="L90" s="38" t="s">
        <v>27</v>
      </c>
      <c r="M90" s="37">
        <v>44782</v>
      </c>
      <c r="N90" s="40">
        <v>1249.95</v>
      </c>
      <c r="O90" s="38">
        <f t="shared" ca="1" si="5"/>
        <v>1002</v>
      </c>
      <c r="P90" s="44">
        <f t="shared" ca="1" si="6"/>
        <v>2</v>
      </c>
      <c r="Q90" s="45">
        <f t="shared" si="7"/>
        <v>45596</v>
      </c>
      <c r="R90" s="43">
        <f t="shared" ca="1" si="8"/>
        <v>46276.697382638886</v>
      </c>
      <c r="S90" s="44" t="str">
        <f t="shared" si="9"/>
        <v>EH</v>
      </c>
    </row>
    <row r="91" spans="1:19" ht="18.600000000000001" thickBot="1">
      <c r="A91" s="36" t="s">
        <v>218</v>
      </c>
      <c r="B91" s="37">
        <v>45517</v>
      </c>
      <c r="C91" s="38" t="s">
        <v>65</v>
      </c>
      <c r="D91" s="38" t="s">
        <v>66</v>
      </c>
      <c r="E91" s="38" t="s">
        <v>17</v>
      </c>
      <c r="F91" s="38" t="s">
        <v>18</v>
      </c>
      <c r="G91" s="38" t="s">
        <v>19</v>
      </c>
      <c r="H91" s="39">
        <v>3</v>
      </c>
      <c r="I91" s="39">
        <v>249.99</v>
      </c>
      <c r="J91" s="38" t="s">
        <v>34</v>
      </c>
      <c r="K91" s="38" t="s">
        <v>40</v>
      </c>
      <c r="L91" s="38" t="s">
        <v>27</v>
      </c>
      <c r="M91" s="37">
        <v>44465</v>
      </c>
      <c r="N91" s="40">
        <v>749.97</v>
      </c>
      <c r="O91" s="38">
        <f t="shared" ca="1" si="5"/>
        <v>1336</v>
      </c>
      <c r="P91" s="44">
        <f t="shared" ca="1" si="6"/>
        <v>3</v>
      </c>
      <c r="Q91" s="45">
        <f t="shared" si="7"/>
        <v>45596</v>
      </c>
      <c r="R91" s="43">
        <f t="shared" ca="1" si="8"/>
        <v>46276.697382638886</v>
      </c>
      <c r="S91" s="44" t="str">
        <f t="shared" si="9"/>
        <v>CE</v>
      </c>
    </row>
    <row r="92" spans="1:19" ht="18.600000000000001" thickBot="1">
      <c r="A92" s="36" t="s">
        <v>219</v>
      </c>
      <c r="B92" s="37">
        <v>45517</v>
      </c>
      <c r="C92" s="38" t="s">
        <v>38</v>
      </c>
      <c r="D92" s="38" t="s">
        <v>39</v>
      </c>
      <c r="E92" s="38" t="s">
        <v>126</v>
      </c>
      <c r="F92" s="38" t="s">
        <v>127</v>
      </c>
      <c r="G92" s="38" t="s">
        <v>46</v>
      </c>
      <c r="H92" s="39">
        <v>4</v>
      </c>
      <c r="I92" s="39">
        <v>199.99</v>
      </c>
      <c r="J92" s="38" t="s">
        <v>20</v>
      </c>
      <c r="K92" s="38" t="s">
        <v>40</v>
      </c>
      <c r="L92" s="38" t="s">
        <v>36</v>
      </c>
      <c r="M92" s="37">
        <v>44458</v>
      </c>
      <c r="N92" s="40">
        <v>799.96</v>
      </c>
      <c r="O92" s="38">
        <f t="shared" ca="1" si="5"/>
        <v>1102</v>
      </c>
      <c r="P92" s="44">
        <f t="shared" ca="1" si="6"/>
        <v>3</v>
      </c>
      <c r="Q92" s="45">
        <f t="shared" si="7"/>
        <v>45596</v>
      </c>
      <c r="R92" s="43">
        <f t="shared" ca="1" si="8"/>
        <v>46276.697382638886</v>
      </c>
      <c r="S92" s="44" t="str">
        <f t="shared" si="9"/>
        <v>DK</v>
      </c>
    </row>
    <row r="93" spans="1:19" ht="18.600000000000001" thickBot="1">
      <c r="A93" s="36" t="s">
        <v>220</v>
      </c>
      <c r="B93" s="37">
        <v>45519</v>
      </c>
      <c r="C93" s="38" t="s">
        <v>158</v>
      </c>
      <c r="D93" s="38" t="s">
        <v>159</v>
      </c>
      <c r="E93" s="38" t="s">
        <v>126</v>
      </c>
      <c r="F93" s="38" t="s">
        <v>127</v>
      </c>
      <c r="G93" s="38" t="s">
        <v>46</v>
      </c>
      <c r="H93" s="39">
        <v>5</v>
      </c>
      <c r="I93" s="39">
        <v>199.99</v>
      </c>
      <c r="J93" s="38" t="s">
        <v>20</v>
      </c>
      <c r="K93" s="38" t="s">
        <v>40</v>
      </c>
      <c r="L93" s="38" t="s">
        <v>27</v>
      </c>
      <c r="M93" s="37">
        <v>44991</v>
      </c>
      <c r="N93" s="40">
        <v>999.95</v>
      </c>
      <c r="O93" s="38">
        <f t="shared" ca="1" si="5"/>
        <v>1061</v>
      </c>
      <c r="P93" s="44">
        <f t="shared" ca="1" si="6"/>
        <v>2</v>
      </c>
      <c r="Q93" s="45">
        <f t="shared" si="7"/>
        <v>45596</v>
      </c>
      <c r="R93" s="43">
        <f t="shared" ca="1" si="8"/>
        <v>46276.697382638886</v>
      </c>
      <c r="S93" s="44" t="str">
        <f t="shared" si="9"/>
        <v>GA</v>
      </c>
    </row>
    <row r="94" spans="1:19" ht="18.600000000000001" thickBot="1">
      <c r="A94" s="36" t="s">
        <v>221</v>
      </c>
      <c r="B94" s="37">
        <v>45522</v>
      </c>
      <c r="C94" s="38" t="s">
        <v>86</v>
      </c>
      <c r="D94" s="38" t="s">
        <v>87</v>
      </c>
      <c r="E94" s="38" t="s">
        <v>117</v>
      </c>
      <c r="F94" s="38" t="s">
        <v>118</v>
      </c>
      <c r="G94" s="38" t="s">
        <v>19</v>
      </c>
      <c r="H94" s="39">
        <v>2</v>
      </c>
      <c r="I94" s="39">
        <v>89.99</v>
      </c>
      <c r="J94" s="38" t="s">
        <v>20</v>
      </c>
      <c r="K94" s="38" t="s">
        <v>63</v>
      </c>
      <c r="L94" s="38" t="s">
        <v>27</v>
      </c>
      <c r="M94" s="37">
        <v>44972</v>
      </c>
      <c r="N94" s="40">
        <v>179.98</v>
      </c>
      <c r="O94" s="38">
        <f t="shared" ca="1" si="5"/>
        <v>1268</v>
      </c>
      <c r="P94" s="44">
        <f t="shared" ca="1" si="6"/>
        <v>3</v>
      </c>
      <c r="Q94" s="45">
        <f t="shared" si="7"/>
        <v>45596</v>
      </c>
      <c r="R94" s="43">
        <f t="shared" ca="1" si="8"/>
        <v>46276.697382638886</v>
      </c>
      <c r="S94" s="44" t="str">
        <f t="shared" si="9"/>
        <v>BY</v>
      </c>
    </row>
    <row r="95" spans="1:19" ht="18.600000000000001" thickBot="1">
      <c r="A95" s="36" t="s">
        <v>222</v>
      </c>
      <c r="B95" s="37">
        <v>45523</v>
      </c>
      <c r="C95" s="38" t="s">
        <v>196</v>
      </c>
      <c r="D95" s="38" t="s">
        <v>197</v>
      </c>
      <c r="E95" s="38" t="s">
        <v>61</v>
      </c>
      <c r="F95" s="38" t="s">
        <v>62</v>
      </c>
      <c r="G95" s="38" t="s">
        <v>19</v>
      </c>
      <c r="H95" s="39">
        <v>5</v>
      </c>
      <c r="I95" s="39">
        <v>899.99</v>
      </c>
      <c r="J95" s="38" t="s">
        <v>57</v>
      </c>
      <c r="K95" s="38" t="s">
        <v>63</v>
      </c>
      <c r="L95" s="38" t="s">
        <v>22</v>
      </c>
      <c r="M95" s="37">
        <v>44526</v>
      </c>
      <c r="N95" s="40">
        <v>4499.95</v>
      </c>
      <c r="O95" s="38">
        <f t="shared" ca="1" si="5"/>
        <v>891</v>
      </c>
      <c r="P95" s="44">
        <f t="shared" ca="1" si="6"/>
        <v>2</v>
      </c>
      <c r="Q95" s="45">
        <f t="shared" si="7"/>
        <v>45596</v>
      </c>
      <c r="R95" s="43">
        <f t="shared" ca="1" si="8"/>
        <v>46276.697382638886</v>
      </c>
      <c r="S95" s="44" t="str">
        <f t="shared" si="9"/>
        <v>RR</v>
      </c>
    </row>
    <row r="96" spans="1:19" ht="18.600000000000001" thickBot="1">
      <c r="A96" s="36" t="s">
        <v>223</v>
      </c>
      <c r="B96" s="37">
        <v>45523</v>
      </c>
      <c r="C96" s="38" t="s">
        <v>108</v>
      </c>
      <c r="D96" s="38" t="s">
        <v>109</v>
      </c>
      <c r="E96" s="38" t="s">
        <v>52</v>
      </c>
      <c r="F96" s="38" t="s">
        <v>53</v>
      </c>
      <c r="G96" s="38" t="s">
        <v>19</v>
      </c>
      <c r="H96" s="39">
        <v>3</v>
      </c>
      <c r="I96" s="39">
        <v>149.99</v>
      </c>
      <c r="J96" s="38" t="s">
        <v>34</v>
      </c>
      <c r="K96" s="38" t="s">
        <v>63</v>
      </c>
      <c r="L96" s="38" t="s">
        <v>22</v>
      </c>
      <c r="M96" s="37">
        <v>44574</v>
      </c>
      <c r="N96" s="40">
        <v>449.97</v>
      </c>
      <c r="O96" s="38">
        <f t="shared" ca="1" si="5"/>
        <v>907</v>
      </c>
      <c r="P96" s="44">
        <f t="shared" ca="1" si="6"/>
        <v>2</v>
      </c>
      <c r="Q96" s="45">
        <f t="shared" si="7"/>
        <v>45596</v>
      </c>
      <c r="R96" s="43">
        <f t="shared" ca="1" si="8"/>
        <v>46276.697382638886</v>
      </c>
      <c r="S96" s="44" t="str">
        <f t="shared" si="9"/>
        <v>SB</v>
      </c>
    </row>
    <row r="97" spans="1:19" ht="18.600000000000001" thickBot="1">
      <c r="A97" s="36" t="s">
        <v>224</v>
      </c>
      <c r="B97" s="37">
        <v>45526</v>
      </c>
      <c r="C97" s="38" t="s">
        <v>102</v>
      </c>
      <c r="D97" s="38" t="s">
        <v>103</v>
      </c>
      <c r="E97" s="38" t="s">
        <v>44</v>
      </c>
      <c r="F97" s="38" t="s">
        <v>45</v>
      </c>
      <c r="G97" s="38" t="s">
        <v>46</v>
      </c>
      <c r="H97" s="39">
        <v>5</v>
      </c>
      <c r="I97" s="39">
        <v>149.99</v>
      </c>
      <c r="J97" s="38" t="s">
        <v>26</v>
      </c>
      <c r="K97" s="38" t="s">
        <v>21</v>
      </c>
      <c r="L97" s="38" t="s">
        <v>22</v>
      </c>
      <c r="M97" s="37">
        <v>45310</v>
      </c>
      <c r="N97" s="40">
        <v>749.95</v>
      </c>
      <c r="O97" s="38">
        <f t="shared" ca="1" si="5"/>
        <v>1360</v>
      </c>
      <c r="P97" s="44">
        <f t="shared" ca="1" si="6"/>
        <v>3</v>
      </c>
      <c r="Q97" s="45">
        <f t="shared" si="7"/>
        <v>45596</v>
      </c>
      <c r="R97" s="43">
        <f t="shared" ca="1" si="8"/>
        <v>46276.697382638886</v>
      </c>
      <c r="S97" s="44" t="str">
        <f t="shared" si="9"/>
        <v>LR</v>
      </c>
    </row>
    <row r="98" spans="1:19" ht="18.600000000000001" thickBot="1">
      <c r="A98" s="36" t="s">
        <v>225</v>
      </c>
      <c r="B98" s="37">
        <v>45528</v>
      </c>
      <c r="C98" s="38" t="s">
        <v>226</v>
      </c>
      <c r="D98" s="38" t="s">
        <v>227</v>
      </c>
      <c r="E98" s="38" t="s">
        <v>114</v>
      </c>
      <c r="F98" s="38" t="s">
        <v>115</v>
      </c>
      <c r="G98" s="38" t="s">
        <v>33</v>
      </c>
      <c r="H98" s="39">
        <v>3</v>
      </c>
      <c r="I98" s="39">
        <v>79.989999999999995</v>
      </c>
      <c r="J98" s="38" t="s">
        <v>20</v>
      </c>
      <c r="K98" s="38" t="s">
        <v>21</v>
      </c>
      <c r="L98" s="38" t="s">
        <v>27</v>
      </c>
      <c r="M98" s="37">
        <v>44779</v>
      </c>
      <c r="N98" s="40">
        <v>239.97</v>
      </c>
      <c r="O98" s="38">
        <f t="shared" ca="1" si="5"/>
        <v>1725</v>
      </c>
      <c r="P98" s="44">
        <f t="shared" ca="1" si="6"/>
        <v>4</v>
      </c>
      <c r="Q98" s="45">
        <f t="shared" si="7"/>
        <v>45596</v>
      </c>
      <c r="R98" s="43">
        <f t="shared" ca="1" si="8"/>
        <v>46276.697382638886</v>
      </c>
      <c r="S98" s="44" t="str">
        <f t="shared" si="9"/>
        <v>LR</v>
      </c>
    </row>
    <row r="99" spans="1:19" ht="18.600000000000001" thickBot="1">
      <c r="A99" s="36" t="s">
        <v>228</v>
      </c>
      <c r="B99" s="37">
        <v>45528</v>
      </c>
      <c r="C99" s="38" t="s">
        <v>144</v>
      </c>
      <c r="D99" s="38" t="s">
        <v>145</v>
      </c>
      <c r="E99" s="38" t="s">
        <v>17</v>
      </c>
      <c r="F99" s="38" t="s">
        <v>18</v>
      </c>
      <c r="G99" s="38" t="s">
        <v>19</v>
      </c>
      <c r="H99" s="39">
        <v>2</v>
      </c>
      <c r="I99" s="39">
        <v>249.99</v>
      </c>
      <c r="J99" s="38" t="s">
        <v>20</v>
      </c>
      <c r="K99" s="38" t="s">
        <v>35</v>
      </c>
      <c r="L99" s="38" t="s">
        <v>36</v>
      </c>
      <c r="M99" s="37">
        <v>44572</v>
      </c>
      <c r="N99" s="40">
        <v>499.98</v>
      </c>
      <c r="O99" s="38">
        <f t="shared" ca="1" si="5"/>
        <v>1803</v>
      </c>
      <c r="P99" s="44">
        <f t="shared" ca="1" si="6"/>
        <v>4</v>
      </c>
      <c r="Q99" s="45">
        <f t="shared" si="7"/>
        <v>45596</v>
      </c>
      <c r="R99" s="43">
        <f t="shared" ca="1" si="8"/>
        <v>46276.697382638886</v>
      </c>
      <c r="S99" s="44" t="str">
        <f t="shared" si="9"/>
        <v>KB</v>
      </c>
    </row>
    <row r="100" spans="1:19" ht="18.600000000000001" thickBot="1">
      <c r="A100" s="36" t="s">
        <v>229</v>
      </c>
      <c r="B100" s="37">
        <v>45532</v>
      </c>
      <c r="C100" s="38" t="s">
        <v>196</v>
      </c>
      <c r="D100" s="38" t="s">
        <v>197</v>
      </c>
      <c r="E100" s="38" t="s">
        <v>80</v>
      </c>
      <c r="F100" s="38" t="s">
        <v>81</v>
      </c>
      <c r="G100" s="38" t="s">
        <v>19</v>
      </c>
      <c r="H100" s="39">
        <v>1</v>
      </c>
      <c r="I100" s="39">
        <v>699.99</v>
      </c>
      <c r="J100" s="38" t="s">
        <v>20</v>
      </c>
      <c r="K100" s="38" t="s">
        <v>21</v>
      </c>
      <c r="L100" s="38" t="s">
        <v>27</v>
      </c>
      <c r="M100" s="37">
        <v>44497</v>
      </c>
      <c r="N100" s="40">
        <v>699.99</v>
      </c>
      <c r="O100" s="38">
        <f t="shared" ca="1" si="5"/>
        <v>1284</v>
      </c>
      <c r="P100" s="44">
        <f t="shared" ca="1" si="6"/>
        <v>3</v>
      </c>
      <c r="Q100" s="45">
        <f t="shared" si="7"/>
        <v>45596</v>
      </c>
      <c r="R100" s="43">
        <f t="shared" ca="1" si="8"/>
        <v>46276.697382638886</v>
      </c>
      <c r="S100" s="44" t="str">
        <f t="shared" si="9"/>
        <v>SD</v>
      </c>
    </row>
    <row r="101" spans="1:19" ht="18.600000000000001" thickBot="1">
      <c r="A101" s="36" t="s">
        <v>230</v>
      </c>
      <c r="B101" s="37">
        <v>45532</v>
      </c>
      <c r="C101" s="38" t="s">
        <v>231</v>
      </c>
      <c r="D101" s="38" t="s">
        <v>232</v>
      </c>
      <c r="E101" s="38" t="s">
        <v>52</v>
      </c>
      <c r="F101" s="38" t="s">
        <v>53</v>
      </c>
      <c r="G101" s="38" t="s">
        <v>19</v>
      </c>
      <c r="H101" s="39">
        <v>3</v>
      </c>
      <c r="I101" s="39">
        <v>149.99</v>
      </c>
      <c r="J101" s="38" t="s">
        <v>20</v>
      </c>
      <c r="K101" s="38" t="s">
        <v>50</v>
      </c>
      <c r="L101" s="38" t="s">
        <v>27</v>
      </c>
      <c r="M101" s="37">
        <v>45212</v>
      </c>
      <c r="N101" s="40">
        <v>449.97</v>
      </c>
      <c r="O101" s="38">
        <f t="shared" ca="1" si="5"/>
        <v>1641</v>
      </c>
      <c r="P101" s="44">
        <f t="shared" ca="1" si="6"/>
        <v>4</v>
      </c>
      <c r="Q101" s="45">
        <f t="shared" si="7"/>
        <v>45596</v>
      </c>
      <c r="R101" s="43">
        <f t="shared" ca="1" si="8"/>
        <v>46276.697382638886</v>
      </c>
      <c r="S101" s="44" t="str">
        <f t="shared" si="9"/>
        <v>BC</v>
      </c>
    </row>
    <row r="102" spans="1:19" ht="18.600000000000001" thickBot="1">
      <c r="A102" s="36" t="s">
        <v>233</v>
      </c>
      <c r="B102" s="37">
        <v>45534</v>
      </c>
      <c r="C102" s="38" t="s">
        <v>234</v>
      </c>
      <c r="D102" s="38" t="s">
        <v>235</v>
      </c>
      <c r="E102" s="38" t="s">
        <v>80</v>
      </c>
      <c r="F102" s="38" t="s">
        <v>81</v>
      </c>
      <c r="G102" s="38" t="s">
        <v>19</v>
      </c>
      <c r="H102" s="39">
        <v>2</v>
      </c>
      <c r="I102" s="39">
        <v>699.99</v>
      </c>
      <c r="J102" s="38" t="s">
        <v>26</v>
      </c>
      <c r="K102" s="38" t="s">
        <v>40</v>
      </c>
      <c r="L102" s="38" t="s">
        <v>27</v>
      </c>
      <c r="M102" s="37">
        <v>44421</v>
      </c>
      <c r="N102" s="40">
        <v>1399.98</v>
      </c>
      <c r="O102" s="38">
        <f t="shared" ca="1" si="5"/>
        <v>1661</v>
      </c>
      <c r="P102" s="44">
        <f t="shared" ca="1" si="6"/>
        <v>4</v>
      </c>
      <c r="Q102" s="45">
        <f t="shared" si="7"/>
        <v>45596</v>
      </c>
      <c r="R102" s="43">
        <f t="shared" ca="1" si="8"/>
        <v>46276.697382638886</v>
      </c>
      <c r="S102" s="44" t="str">
        <f t="shared" si="9"/>
        <v>RR</v>
      </c>
    </row>
    <row r="103" spans="1:19" ht="18.600000000000001" thickBot="1">
      <c r="A103" s="36" t="s">
        <v>236</v>
      </c>
      <c r="B103" s="37">
        <v>45537</v>
      </c>
      <c r="C103" s="38" t="s">
        <v>231</v>
      </c>
      <c r="D103" s="38" t="s">
        <v>232</v>
      </c>
      <c r="E103" s="38" t="s">
        <v>17</v>
      </c>
      <c r="F103" s="38" t="s">
        <v>18</v>
      </c>
      <c r="G103" s="38" t="s">
        <v>19</v>
      </c>
      <c r="H103" s="39">
        <v>1</v>
      </c>
      <c r="I103" s="39">
        <v>249.99</v>
      </c>
      <c r="J103" s="38" t="s">
        <v>26</v>
      </c>
      <c r="K103" s="38" t="s">
        <v>50</v>
      </c>
      <c r="L103" s="38" t="s">
        <v>27</v>
      </c>
      <c r="M103" s="37">
        <v>44685</v>
      </c>
      <c r="N103" s="40">
        <v>249.99</v>
      </c>
      <c r="O103" s="38">
        <f t="shared" ca="1" si="5"/>
        <v>1395</v>
      </c>
      <c r="P103" s="44">
        <f t="shared" ca="1" si="6"/>
        <v>3</v>
      </c>
      <c r="Q103" s="45">
        <f t="shared" si="7"/>
        <v>45626</v>
      </c>
      <c r="R103" s="43">
        <f t="shared" ca="1" si="8"/>
        <v>46276.697382638886</v>
      </c>
      <c r="S103" s="44" t="str">
        <f t="shared" si="9"/>
        <v>PB</v>
      </c>
    </row>
    <row r="104" spans="1:19" ht="18.600000000000001" thickBot="1">
      <c r="A104" s="36" t="s">
        <v>237</v>
      </c>
      <c r="B104" s="37">
        <v>45537</v>
      </c>
      <c r="C104" s="38" t="s">
        <v>15</v>
      </c>
      <c r="D104" s="38" t="s">
        <v>16</v>
      </c>
      <c r="E104" s="38" t="s">
        <v>17</v>
      </c>
      <c r="F104" s="38" t="s">
        <v>18</v>
      </c>
      <c r="G104" s="38" t="s">
        <v>19</v>
      </c>
      <c r="H104" s="39">
        <v>1</v>
      </c>
      <c r="I104" s="39">
        <v>249.99</v>
      </c>
      <c r="J104" s="38" t="s">
        <v>57</v>
      </c>
      <c r="K104" s="38" t="s">
        <v>40</v>
      </c>
      <c r="L104" s="38" t="s">
        <v>27</v>
      </c>
      <c r="M104" s="37">
        <v>45332</v>
      </c>
      <c r="N104" s="40">
        <v>249.99</v>
      </c>
      <c r="O104" s="38">
        <f t="shared" ca="1" si="5"/>
        <v>1774</v>
      </c>
      <c r="P104" s="44">
        <f t="shared" ca="1" si="6"/>
        <v>4</v>
      </c>
      <c r="Q104" s="45">
        <f t="shared" si="7"/>
        <v>45626</v>
      </c>
      <c r="R104" s="43">
        <f t="shared" ca="1" si="8"/>
        <v>46276.697382638886</v>
      </c>
      <c r="S104" s="44" t="str">
        <f t="shared" si="9"/>
        <v>KH</v>
      </c>
    </row>
    <row r="105" spans="1:19" ht="18.600000000000001" thickBot="1">
      <c r="A105" s="36" t="s">
        <v>238</v>
      </c>
      <c r="B105" s="37">
        <v>45538</v>
      </c>
      <c r="C105" s="38" t="s">
        <v>226</v>
      </c>
      <c r="D105" s="38" t="s">
        <v>227</v>
      </c>
      <c r="E105" s="38" t="s">
        <v>80</v>
      </c>
      <c r="F105" s="38" t="s">
        <v>81</v>
      </c>
      <c r="G105" s="38" t="s">
        <v>19</v>
      </c>
      <c r="H105" s="39">
        <v>2</v>
      </c>
      <c r="I105" s="39">
        <v>699.99</v>
      </c>
      <c r="J105" s="38" t="s">
        <v>57</v>
      </c>
      <c r="K105" s="38" t="s">
        <v>21</v>
      </c>
      <c r="L105" s="38" t="s">
        <v>27</v>
      </c>
      <c r="M105" s="37">
        <v>44870</v>
      </c>
      <c r="N105" s="40">
        <v>1399.98</v>
      </c>
      <c r="O105" s="38">
        <f t="shared" ca="1" si="5"/>
        <v>1856</v>
      </c>
      <c r="P105" s="44">
        <f t="shared" ca="1" si="6"/>
        <v>5</v>
      </c>
      <c r="Q105" s="45">
        <f t="shared" si="7"/>
        <v>45626</v>
      </c>
      <c r="R105" s="43">
        <f t="shared" ca="1" si="8"/>
        <v>46276.697382638886</v>
      </c>
      <c r="S105" s="44" t="str">
        <f t="shared" si="9"/>
        <v>PM</v>
      </c>
    </row>
    <row r="106" spans="1:19" ht="18.600000000000001" thickBot="1">
      <c r="A106" s="36" t="s">
        <v>239</v>
      </c>
      <c r="B106" s="37">
        <v>45541</v>
      </c>
      <c r="C106" s="38" t="s">
        <v>138</v>
      </c>
      <c r="D106" s="38" t="s">
        <v>139</v>
      </c>
      <c r="E106" s="38" t="s">
        <v>31</v>
      </c>
      <c r="F106" s="38" t="s">
        <v>32</v>
      </c>
      <c r="G106" s="38" t="s">
        <v>33</v>
      </c>
      <c r="H106" s="39">
        <v>3</v>
      </c>
      <c r="I106" s="39">
        <v>59.99</v>
      </c>
      <c r="J106" s="38" t="s">
        <v>26</v>
      </c>
      <c r="K106" s="38" t="s">
        <v>21</v>
      </c>
      <c r="L106" s="38" t="s">
        <v>27</v>
      </c>
      <c r="M106" s="37">
        <v>44717</v>
      </c>
      <c r="N106" s="40">
        <v>179.97</v>
      </c>
      <c r="O106" s="38">
        <f t="shared" ca="1" si="5"/>
        <v>1428</v>
      </c>
      <c r="P106" s="44">
        <f t="shared" ca="1" si="6"/>
        <v>3</v>
      </c>
      <c r="Q106" s="45">
        <f t="shared" si="7"/>
        <v>45626</v>
      </c>
      <c r="R106" s="43">
        <f t="shared" ca="1" si="8"/>
        <v>46276.697382638886</v>
      </c>
      <c r="S106" s="44" t="str">
        <f t="shared" si="9"/>
        <v>MG</v>
      </c>
    </row>
    <row r="107" spans="1:19" ht="18.600000000000001" thickBot="1">
      <c r="A107" s="36" t="s">
        <v>240</v>
      </c>
      <c r="B107" s="37">
        <v>45544</v>
      </c>
      <c r="C107" s="38" t="s">
        <v>132</v>
      </c>
      <c r="D107" s="38" t="s">
        <v>133</v>
      </c>
      <c r="E107" s="38" t="s">
        <v>31</v>
      </c>
      <c r="F107" s="38" t="s">
        <v>32</v>
      </c>
      <c r="G107" s="38" t="s">
        <v>33</v>
      </c>
      <c r="H107" s="39">
        <v>3</v>
      </c>
      <c r="I107" s="39">
        <v>59.99</v>
      </c>
      <c r="J107" s="38" t="s">
        <v>34</v>
      </c>
      <c r="K107" s="38" t="s">
        <v>63</v>
      </c>
      <c r="L107" s="38" t="s">
        <v>36</v>
      </c>
      <c r="M107" s="37">
        <v>44748</v>
      </c>
      <c r="N107" s="40">
        <v>179.97</v>
      </c>
      <c r="O107" s="38">
        <f t="shared" ca="1" si="5"/>
        <v>1448</v>
      </c>
      <c r="P107" s="44">
        <f t="shared" ca="1" si="6"/>
        <v>3</v>
      </c>
      <c r="Q107" s="45">
        <f t="shared" si="7"/>
        <v>45626</v>
      </c>
      <c r="R107" s="43">
        <f t="shared" ca="1" si="8"/>
        <v>46276.697382638886</v>
      </c>
      <c r="S107" s="44" t="str">
        <f t="shared" si="9"/>
        <v>MW</v>
      </c>
    </row>
    <row r="108" spans="1:19" ht="18.600000000000001" thickBot="1">
      <c r="A108" s="36" t="s">
        <v>241</v>
      </c>
      <c r="B108" s="37">
        <v>45544</v>
      </c>
      <c r="C108" s="38" t="s">
        <v>141</v>
      </c>
      <c r="D108" s="38" t="s">
        <v>142</v>
      </c>
      <c r="E108" s="38" t="s">
        <v>114</v>
      </c>
      <c r="F108" s="38" t="s">
        <v>115</v>
      </c>
      <c r="G108" s="38" t="s">
        <v>33</v>
      </c>
      <c r="H108" s="39">
        <v>4</v>
      </c>
      <c r="I108" s="39">
        <v>79.989999999999995</v>
      </c>
      <c r="J108" s="38" t="s">
        <v>20</v>
      </c>
      <c r="K108" s="38" t="s">
        <v>40</v>
      </c>
      <c r="L108" s="38" t="s">
        <v>22</v>
      </c>
      <c r="M108" s="37">
        <v>44530</v>
      </c>
      <c r="N108" s="40">
        <v>319.95999999999998</v>
      </c>
      <c r="O108" s="38">
        <f t="shared" ca="1" si="5"/>
        <v>1507</v>
      </c>
      <c r="P108" s="44">
        <f t="shared" ca="1" si="6"/>
        <v>4</v>
      </c>
      <c r="Q108" s="45">
        <f t="shared" si="7"/>
        <v>45626</v>
      </c>
      <c r="R108" s="43">
        <f t="shared" ca="1" si="8"/>
        <v>46276.697382638886</v>
      </c>
      <c r="S108" s="44" t="str">
        <f t="shared" si="9"/>
        <v>PR</v>
      </c>
    </row>
    <row r="109" spans="1:19" ht="18.600000000000001" thickBot="1">
      <c r="A109" s="36" t="s">
        <v>242</v>
      </c>
      <c r="B109" s="37">
        <v>45545</v>
      </c>
      <c r="C109" s="38" t="s">
        <v>55</v>
      </c>
      <c r="D109" s="38" t="s">
        <v>56</v>
      </c>
      <c r="E109" s="38" t="s">
        <v>114</v>
      </c>
      <c r="F109" s="38" t="s">
        <v>115</v>
      </c>
      <c r="G109" s="38" t="s">
        <v>33</v>
      </c>
      <c r="H109" s="39">
        <v>1</v>
      </c>
      <c r="I109" s="39">
        <v>79.989999999999995</v>
      </c>
      <c r="J109" s="38" t="s">
        <v>20</v>
      </c>
      <c r="K109" s="38" t="s">
        <v>50</v>
      </c>
      <c r="L109" s="38" t="s">
        <v>22</v>
      </c>
      <c r="M109" s="37">
        <v>44693</v>
      </c>
      <c r="N109" s="40">
        <v>79.989999999999995</v>
      </c>
      <c r="O109" s="38">
        <f t="shared" ca="1" si="5"/>
        <v>1582</v>
      </c>
      <c r="P109" s="44">
        <f t="shared" ca="1" si="6"/>
        <v>4</v>
      </c>
      <c r="Q109" s="45">
        <f t="shared" si="7"/>
        <v>45626</v>
      </c>
      <c r="R109" s="43">
        <f t="shared" ca="1" si="8"/>
        <v>46276.697382638886</v>
      </c>
      <c r="S109" s="44" t="str">
        <f t="shared" si="9"/>
        <v>PB</v>
      </c>
    </row>
    <row r="110" spans="1:19" ht="18.600000000000001" thickBot="1">
      <c r="A110" s="36" t="s">
        <v>243</v>
      </c>
      <c r="B110" s="37">
        <v>45547</v>
      </c>
      <c r="C110" s="38" t="s">
        <v>48</v>
      </c>
      <c r="D110" s="38" t="s">
        <v>49</v>
      </c>
      <c r="E110" s="38" t="s">
        <v>105</v>
      </c>
      <c r="F110" s="38" t="s">
        <v>106</v>
      </c>
      <c r="G110" s="38" t="s">
        <v>46</v>
      </c>
      <c r="H110" s="39">
        <v>3</v>
      </c>
      <c r="I110" s="39">
        <v>299.99</v>
      </c>
      <c r="J110" s="38" t="s">
        <v>26</v>
      </c>
      <c r="K110" s="38" t="s">
        <v>21</v>
      </c>
      <c r="L110" s="38" t="s">
        <v>27</v>
      </c>
      <c r="M110" s="37">
        <v>44494</v>
      </c>
      <c r="N110" s="40">
        <v>899.97</v>
      </c>
      <c r="O110" s="38">
        <f t="shared" ca="1" si="5"/>
        <v>1617</v>
      </c>
      <c r="P110" s="44">
        <f t="shared" ca="1" si="6"/>
        <v>4</v>
      </c>
      <c r="Q110" s="45">
        <f t="shared" si="7"/>
        <v>45626</v>
      </c>
      <c r="R110" s="43">
        <f t="shared" ca="1" si="8"/>
        <v>46276.697382638886</v>
      </c>
      <c r="S110" s="44" t="str">
        <f t="shared" si="9"/>
        <v>PM</v>
      </c>
    </row>
    <row r="111" spans="1:19" ht="18.600000000000001" thickBot="1">
      <c r="A111" s="36" t="s">
        <v>244</v>
      </c>
      <c r="B111" s="37">
        <v>45548</v>
      </c>
      <c r="C111" s="38" t="s">
        <v>38</v>
      </c>
      <c r="D111" s="38" t="s">
        <v>39</v>
      </c>
      <c r="E111" s="38" t="s">
        <v>117</v>
      </c>
      <c r="F111" s="38" t="s">
        <v>118</v>
      </c>
      <c r="G111" s="38" t="s">
        <v>19</v>
      </c>
      <c r="H111" s="39">
        <v>2</v>
      </c>
      <c r="I111" s="39">
        <v>89.99</v>
      </c>
      <c r="J111" s="38" t="s">
        <v>26</v>
      </c>
      <c r="K111" s="38" t="s">
        <v>35</v>
      </c>
      <c r="L111" s="38" t="s">
        <v>27</v>
      </c>
      <c r="M111" s="37">
        <v>44641</v>
      </c>
      <c r="N111" s="40">
        <v>179.98</v>
      </c>
      <c r="O111" s="38">
        <f t="shared" ca="1" si="5"/>
        <v>1375</v>
      </c>
      <c r="P111" s="44">
        <f t="shared" ca="1" si="6"/>
        <v>3</v>
      </c>
      <c r="Q111" s="45">
        <f t="shared" si="7"/>
        <v>45626</v>
      </c>
      <c r="R111" s="43">
        <f t="shared" ca="1" si="8"/>
        <v>46276.697382638886</v>
      </c>
      <c r="S111" s="44" t="str">
        <f t="shared" si="9"/>
        <v>SD</v>
      </c>
    </row>
    <row r="112" spans="1:19" ht="18.600000000000001" thickBot="1">
      <c r="A112" s="36" t="s">
        <v>245</v>
      </c>
      <c r="B112" s="37">
        <v>45550</v>
      </c>
      <c r="C112" s="38" t="s">
        <v>246</v>
      </c>
      <c r="D112" s="38" t="s">
        <v>247</v>
      </c>
      <c r="E112" s="38" t="s">
        <v>52</v>
      </c>
      <c r="F112" s="38" t="s">
        <v>53</v>
      </c>
      <c r="G112" s="38" t="s">
        <v>19</v>
      </c>
      <c r="H112" s="39">
        <v>4</v>
      </c>
      <c r="I112" s="39">
        <v>149.99</v>
      </c>
      <c r="J112" s="38" t="s">
        <v>20</v>
      </c>
      <c r="K112" s="38" t="s">
        <v>40</v>
      </c>
      <c r="L112" s="38" t="s">
        <v>22</v>
      </c>
      <c r="M112" s="37">
        <v>44909</v>
      </c>
      <c r="N112" s="40">
        <v>599.96</v>
      </c>
      <c r="O112" s="38">
        <f t="shared" ca="1" si="5"/>
        <v>1016</v>
      </c>
      <c r="P112" s="44">
        <f t="shared" ca="1" si="6"/>
        <v>2</v>
      </c>
      <c r="Q112" s="45">
        <f t="shared" si="7"/>
        <v>45626</v>
      </c>
      <c r="R112" s="43">
        <f t="shared" ca="1" si="8"/>
        <v>46276.697382638886</v>
      </c>
      <c r="S112" s="44" t="str">
        <f t="shared" si="9"/>
        <v>GA</v>
      </c>
    </row>
    <row r="113" spans="1:19" ht="18.600000000000001" thickBot="1">
      <c r="A113" s="36" t="s">
        <v>248</v>
      </c>
      <c r="B113" s="37">
        <v>45551</v>
      </c>
      <c r="C113" s="38" t="s">
        <v>65</v>
      </c>
      <c r="D113" s="38" t="s">
        <v>66</v>
      </c>
      <c r="E113" s="38" t="s">
        <v>17</v>
      </c>
      <c r="F113" s="38" t="s">
        <v>18</v>
      </c>
      <c r="G113" s="38" t="s">
        <v>19</v>
      </c>
      <c r="H113" s="39">
        <v>2</v>
      </c>
      <c r="I113" s="39">
        <v>249.99</v>
      </c>
      <c r="J113" s="38" t="s">
        <v>34</v>
      </c>
      <c r="K113" s="38" t="s">
        <v>35</v>
      </c>
      <c r="L113" s="38" t="s">
        <v>22</v>
      </c>
      <c r="M113" s="37">
        <v>44993</v>
      </c>
      <c r="N113" s="40">
        <v>499.98</v>
      </c>
      <c r="O113" s="38">
        <f t="shared" ca="1" si="5"/>
        <v>1407</v>
      </c>
      <c r="P113" s="44">
        <f t="shared" ca="1" si="6"/>
        <v>3</v>
      </c>
      <c r="Q113" s="45">
        <f t="shared" si="7"/>
        <v>45626</v>
      </c>
      <c r="R113" s="43">
        <f t="shared" ca="1" si="8"/>
        <v>46276.697382638886</v>
      </c>
      <c r="S113" s="44" t="str">
        <f t="shared" si="9"/>
        <v>SP</v>
      </c>
    </row>
    <row r="114" spans="1:19" ht="18.600000000000001" thickBot="1">
      <c r="A114" s="36" t="s">
        <v>249</v>
      </c>
      <c r="B114" s="37">
        <v>45551</v>
      </c>
      <c r="C114" s="38" t="s">
        <v>154</v>
      </c>
      <c r="D114" s="38" t="s">
        <v>155</v>
      </c>
      <c r="E114" s="38" t="s">
        <v>126</v>
      </c>
      <c r="F114" s="38" t="s">
        <v>127</v>
      </c>
      <c r="G114" s="38" t="s">
        <v>46</v>
      </c>
      <c r="H114" s="39">
        <v>4</v>
      </c>
      <c r="I114" s="39">
        <v>199.99</v>
      </c>
      <c r="J114" s="38" t="s">
        <v>57</v>
      </c>
      <c r="K114" s="38" t="s">
        <v>63</v>
      </c>
      <c r="L114" s="38" t="s">
        <v>22</v>
      </c>
      <c r="M114" s="37">
        <v>44458</v>
      </c>
      <c r="N114" s="40">
        <v>799.96</v>
      </c>
      <c r="O114" s="38">
        <f t="shared" ca="1" si="5"/>
        <v>1506</v>
      </c>
      <c r="P114" s="44">
        <f t="shared" ca="1" si="6"/>
        <v>4</v>
      </c>
      <c r="Q114" s="45">
        <f t="shared" si="7"/>
        <v>45626</v>
      </c>
      <c r="R114" s="43">
        <f t="shared" ca="1" si="8"/>
        <v>46276.697382638886</v>
      </c>
      <c r="S114" s="44" t="str">
        <f t="shared" si="9"/>
        <v>MC</v>
      </c>
    </row>
    <row r="115" spans="1:19" ht="18.600000000000001" thickBot="1">
      <c r="A115" s="36" t="s">
        <v>250</v>
      </c>
      <c r="B115" s="37">
        <v>45554</v>
      </c>
      <c r="C115" s="38" t="s">
        <v>147</v>
      </c>
      <c r="D115" s="38" t="s">
        <v>148</v>
      </c>
      <c r="E115" s="38" t="s">
        <v>117</v>
      </c>
      <c r="F115" s="38" t="s">
        <v>118</v>
      </c>
      <c r="G115" s="38" t="s">
        <v>19</v>
      </c>
      <c r="H115" s="39">
        <v>5</v>
      </c>
      <c r="I115" s="39">
        <v>89.99</v>
      </c>
      <c r="J115" s="38" t="s">
        <v>26</v>
      </c>
      <c r="K115" s="38" t="s">
        <v>63</v>
      </c>
      <c r="L115" s="38" t="s">
        <v>27</v>
      </c>
      <c r="M115" s="37">
        <v>44446</v>
      </c>
      <c r="N115" s="40">
        <v>449.95</v>
      </c>
      <c r="O115" s="38">
        <f t="shared" ca="1" si="5"/>
        <v>1849</v>
      </c>
      <c r="P115" s="44">
        <f t="shared" ca="1" si="6"/>
        <v>5</v>
      </c>
      <c r="Q115" s="45">
        <f t="shared" si="7"/>
        <v>45626</v>
      </c>
      <c r="R115" s="43">
        <f t="shared" ca="1" si="8"/>
        <v>46276.697382638886</v>
      </c>
      <c r="S115" s="44" t="str">
        <f t="shared" si="9"/>
        <v>EM</v>
      </c>
    </row>
    <row r="116" spans="1:19" ht="18.600000000000001" thickBot="1">
      <c r="A116" s="36" t="s">
        <v>251</v>
      </c>
      <c r="B116" s="37">
        <v>45554</v>
      </c>
      <c r="C116" s="38" t="s">
        <v>252</v>
      </c>
      <c r="D116" s="38" t="s">
        <v>253</v>
      </c>
      <c r="E116" s="38" t="s">
        <v>52</v>
      </c>
      <c r="F116" s="38" t="s">
        <v>53</v>
      </c>
      <c r="G116" s="38" t="s">
        <v>19</v>
      </c>
      <c r="H116" s="39">
        <v>1</v>
      </c>
      <c r="I116" s="39">
        <v>149.99</v>
      </c>
      <c r="J116" s="38" t="s">
        <v>34</v>
      </c>
      <c r="K116" s="38" t="s">
        <v>63</v>
      </c>
      <c r="L116" s="38" t="s">
        <v>36</v>
      </c>
      <c r="M116" s="37">
        <v>44482</v>
      </c>
      <c r="N116" s="40">
        <v>149.99</v>
      </c>
      <c r="O116" s="38">
        <f t="shared" ca="1" si="5"/>
        <v>1716</v>
      </c>
      <c r="P116" s="44">
        <f t="shared" ca="1" si="6"/>
        <v>4</v>
      </c>
      <c r="Q116" s="45">
        <f t="shared" si="7"/>
        <v>45626</v>
      </c>
      <c r="R116" s="43">
        <f t="shared" ca="1" si="8"/>
        <v>46276.697382638886</v>
      </c>
      <c r="S116" s="44" t="str">
        <f t="shared" si="9"/>
        <v>FT</v>
      </c>
    </row>
    <row r="117" spans="1:19" ht="18.600000000000001" thickBot="1">
      <c r="A117" s="36" t="s">
        <v>254</v>
      </c>
      <c r="B117" s="37">
        <v>45554</v>
      </c>
      <c r="C117" s="38" t="s">
        <v>72</v>
      </c>
      <c r="D117" s="38" t="s">
        <v>73</v>
      </c>
      <c r="E117" s="38" t="s">
        <v>80</v>
      </c>
      <c r="F117" s="38" t="s">
        <v>81</v>
      </c>
      <c r="G117" s="38" t="s">
        <v>19</v>
      </c>
      <c r="H117" s="39">
        <v>4</v>
      </c>
      <c r="I117" s="39">
        <v>699.99</v>
      </c>
      <c r="J117" s="38" t="s">
        <v>34</v>
      </c>
      <c r="K117" s="38" t="s">
        <v>35</v>
      </c>
      <c r="L117" s="38" t="s">
        <v>22</v>
      </c>
      <c r="M117" s="37">
        <v>44618</v>
      </c>
      <c r="N117" s="40">
        <v>2799.96</v>
      </c>
      <c r="O117" s="38">
        <f t="shared" ca="1" si="5"/>
        <v>1693</v>
      </c>
      <c r="P117" s="44">
        <f t="shared" ca="1" si="6"/>
        <v>4</v>
      </c>
      <c r="Q117" s="45">
        <f t="shared" si="7"/>
        <v>45626</v>
      </c>
      <c r="R117" s="43">
        <f t="shared" ca="1" si="8"/>
        <v>46276.697382638886</v>
      </c>
      <c r="S117" s="44" t="str">
        <f t="shared" si="9"/>
        <v>SD</v>
      </c>
    </row>
    <row r="118" spans="1:19" ht="18.600000000000001" thickBot="1">
      <c r="A118" s="36" t="s">
        <v>255</v>
      </c>
      <c r="B118" s="37">
        <v>45559</v>
      </c>
      <c r="C118" s="38" t="s">
        <v>234</v>
      </c>
      <c r="D118" s="38" t="s">
        <v>235</v>
      </c>
      <c r="E118" s="38" t="s">
        <v>61</v>
      </c>
      <c r="F118" s="38" t="s">
        <v>62</v>
      </c>
      <c r="G118" s="38" t="s">
        <v>19</v>
      </c>
      <c r="H118" s="39">
        <v>3</v>
      </c>
      <c r="I118" s="39">
        <v>899.99</v>
      </c>
      <c r="J118" s="38" t="s">
        <v>26</v>
      </c>
      <c r="K118" s="38" t="s">
        <v>40</v>
      </c>
      <c r="L118" s="38" t="s">
        <v>36</v>
      </c>
      <c r="M118" s="37">
        <v>45157</v>
      </c>
      <c r="N118" s="40">
        <v>2699.97</v>
      </c>
      <c r="O118" s="38">
        <f t="shared" ca="1" si="5"/>
        <v>1403</v>
      </c>
      <c r="P118" s="44">
        <f t="shared" ca="1" si="6"/>
        <v>3</v>
      </c>
      <c r="Q118" s="45">
        <f t="shared" si="7"/>
        <v>45626</v>
      </c>
      <c r="R118" s="43">
        <f t="shared" ca="1" si="8"/>
        <v>46276.697382638886</v>
      </c>
      <c r="S118" s="44" t="str">
        <f t="shared" si="9"/>
        <v>DW</v>
      </c>
    </row>
    <row r="119" spans="1:19" ht="18.600000000000001" thickBot="1">
      <c r="A119" s="36" t="s">
        <v>256</v>
      </c>
      <c r="B119" s="37">
        <v>45560</v>
      </c>
      <c r="C119" s="38" t="s">
        <v>112</v>
      </c>
      <c r="D119" s="38" t="s">
        <v>113</v>
      </c>
      <c r="E119" s="38" t="s">
        <v>44</v>
      </c>
      <c r="F119" s="38" t="s">
        <v>45</v>
      </c>
      <c r="G119" s="38" t="s">
        <v>46</v>
      </c>
      <c r="H119" s="39">
        <v>3</v>
      </c>
      <c r="I119" s="39">
        <v>149.99</v>
      </c>
      <c r="J119" s="38" t="s">
        <v>34</v>
      </c>
      <c r="K119" s="38" t="s">
        <v>63</v>
      </c>
      <c r="L119" s="38" t="s">
        <v>22</v>
      </c>
      <c r="M119" s="37">
        <v>44886</v>
      </c>
      <c r="N119" s="40">
        <v>449.97</v>
      </c>
      <c r="O119" s="38">
        <f t="shared" ca="1" si="5"/>
        <v>1175</v>
      </c>
      <c r="P119" s="44">
        <f t="shared" ca="1" si="6"/>
        <v>3</v>
      </c>
      <c r="Q119" s="45">
        <f t="shared" si="7"/>
        <v>45626</v>
      </c>
      <c r="R119" s="43">
        <f t="shared" ca="1" si="8"/>
        <v>46276.697382638886</v>
      </c>
      <c r="S119" s="44" t="str">
        <f t="shared" si="9"/>
        <v>LM</v>
      </c>
    </row>
    <row r="120" spans="1:19" ht="18.600000000000001" thickBot="1">
      <c r="A120" s="36" t="s">
        <v>257</v>
      </c>
      <c r="B120" s="37">
        <v>45563</v>
      </c>
      <c r="C120" s="38" t="s">
        <v>99</v>
      </c>
      <c r="D120" s="38" t="s">
        <v>100</v>
      </c>
      <c r="E120" s="38" t="s">
        <v>105</v>
      </c>
      <c r="F120" s="38" t="s">
        <v>106</v>
      </c>
      <c r="G120" s="38" t="s">
        <v>46</v>
      </c>
      <c r="H120" s="39">
        <v>2</v>
      </c>
      <c r="I120" s="39">
        <v>299.99</v>
      </c>
      <c r="J120" s="38" t="s">
        <v>57</v>
      </c>
      <c r="K120" s="38" t="s">
        <v>21</v>
      </c>
      <c r="L120" s="38" t="s">
        <v>22</v>
      </c>
      <c r="M120" s="37">
        <v>44569</v>
      </c>
      <c r="N120" s="40">
        <v>599.98</v>
      </c>
      <c r="O120" s="38">
        <f t="shared" ca="1" si="5"/>
        <v>1617</v>
      </c>
      <c r="P120" s="44">
        <f t="shared" ca="1" si="6"/>
        <v>4</v>
      </c>
      <c r="Q120" s="45">
        <f t="shared" si="7"/>
        <v>45657</v>
      </c>
      <c r="R120" s="43">
        <f t="shared" ca="1" si="8"/>
        <v>46276.697382638886</v>
      </c>
      <c r="S120" s="44" t="str">
        <f t="shared" si="9"/>
        <v>KS</v>
      </c>
    </row>
    <row r="121" spans="1:19" ht="18.600000000000001" thickBot="1">
      <c r="A121" s="36" t="s">
        <v>258</v>
      </c>
      <c r="B121" s="37">
        <v>45564</v>
      </c>
      <c r="C121" s="38" t="s">
        <v>259</v>
      </c>
      <c r="D121" s="38" t="s">
        <v>260</v>
      </c>
      <c r="E121" s="38" t="s">
        <v>126</v>
      </c>
      <c r="F121" s="38" t="s">
        <v>127</v>
      </c>
      <c r="G121" s="38" t="s">
        <v>46</v>
      </c>
      <c r="H121" s="39">
        <v>1</v>
      </c>
      <c r="I121" s="39">
        <v>199.99</v>
      </c>
      <c r="J121" s="38" t="s">
        <v>57</v>
      </c>
      <c r="K121" s="38" t="s">
        <v>63</v>
      </c>
      <c r="L121" s="38" t="s">
        <v>36</v>
      </c>
      <c r="M121" s="37">
        <v>44953</v>
      </c>
      <c r="N121" s="40">
        <v>199.99</v>
      </c>
      <c r="O121" s="38">
        <f t="shared" ca="1" si="5"/>
        <v>1791</v>
      </c>
      <c r="P121" s="44">
        <f t="shared" ca="1" si="6"/>
        <v>4</v>
      </c>
      <c r="Q121" s="45">
        <f t="shared" si="7"/>
        <v>45657</v>
      </c>
      <c r="R121" s="43">
        <f t="shared" ca="1" si="8"/>
        <v>46276.697382638886</v>
      </c>
      <c r="S121" s="44" t="str">
        <f t="shared" si="9"/>
        <v>CA</v>
      </c>
    </row>
    <row r="122" spans="1:19" ht="18.600000000000001" thickBot="1">
      <c r="A122" s="36" t="s">
        <v>261</v>
      </c>
      <c r="B122" s="37">
        <v>45566</v>
      </c>
      <c r="C122" s="38" t="s">
        <v>42</v>
      </c>
      <c r="D122" s="38" t="s">
        <v>43</v>
      </c>
      <c r="E122" s="38" t="s">
        <v>105</v>
      </c>
      <c r="F122" s="38" t="s">
        <v>106</v>
      </c>
      <c r="G122" s="38" t="s">
        <v>46</v>
      </c>
      <c r="H122" s="39">
        <v>4</v>
      </c>
      <c r="I122" s="39">
        <v>299.99</v>
      </c>
      <c r="J122" s="38" t="s">
        <v>20</v>
      </c>
      <c r="K122" s="38" t="s">
        <v>21</v>
      </c>
      <c r="L122" s="38" t="s">
        <v>27</v>
      </c>
      <c r="M122" s="37">
        <v>44460</v>
      </c>
      <c r="N122" s="40">
        <v>1199.96</v>
      </c>
      <c r="O122" s="38">
        <f t="shared" ca="1" si="5"/>
        <v>1801</v>
      </c>
      <c r="P122" s="44">
        <f t="shared" ca="1" si="6"/>
        <v>4</v>
      </c>
      <c r="Q122" s="45">
        <f t="shared" si="7"/>
        <v>45657</v>
      </c>
      <c r="R122" s="43">
        <f t="shared" ca="1" si="8"/>
        <v>46276.697382638886</v>
      </c>
      <c r="S122" s="44" t="str">
        <f t="shared" si="9"/>
        <v>JJ</v>
      </c>
    </row>
    <row r="123" spans="1:19" ht="18.600000000000001" thickBot="1">
      <c r="A123" s="36" t="s">
        <v>262</v>
      </c>
      <c r="B123" s="37">
        <v>45572</v>
      </c>
      <c r="C123" s="38" t="s">
        <v>89</v>
      </c>
      <c r="D123" s="38" t="s">
        <v>90</v>
      </c>
      <c r="E123" s="38" t="s">
        <v>31</v>
      </c>
      <c r="F123" s="38" t="s">
        <v>32</v>
      </c>
      <c r="G123" s="38" t="s">
        <v>33</v>
      </c>
      <c r="H123" s="39">
        <v>2</v>
      </c>
      <c r="I123" s="39">
        <v>59.99</v>
      </c>
      <c r="J123" s="38" t="s">
        <v>26</v>
      </c>
      <c r="K123" s="38" t="s">
        <v>21</v>
      </c>
      <c r="L123" s="38" t="s">
        <v>22</v>
      </c>
      <c r="M123" s="37">
        <v>44579</v>
      </c>
      <c r="N123" s="40">
        <v>119.98</v>
      </c>
      <c r="O123" s="38">
        <f t="shared" ca="1" si="5"/>
        <v>1332</v>
      </c>
      <c r="P123" s="44">
        <f t="shared" ca="1" si="6"/>
        <v>3</v>
      </c>
      <c r="Q123" s="45">
        <f t="shared" si="7"/>
        <v>45657</v>
      </c>
      <c r="R123" s="43">
        <f t="shared" ca="1" si="8"/>
        <v>46276.697382638886</v>
      </c>
      <c r="S123" s="44" t="str">
        <f t="shared" si="9"/>
        <v>MC</v>
      </c>
    </row>
    <row r="124" spans="1:19" ht="18.600000000000001" thickBot="1">
      <c r="A124" s="36" t="s">
        <v>263</v>
      </c>
      <c r="B124" s="37">
        <v>45572</v>
      </c>
      <c r="C124" s="38" t="s">
        <v>234</v>
      </c>
      <c r="D124" s="38" t="s">
        <v>235</v>
      </c>
      <c r="E124" s="38" t="s">
        <v>52</v>
      </c>
      <c r="F124" s="38" t="s">
        <v>53</v>
      </c>
      <c r="G124" s="38" t="s">
        <v>19</v>
      </c>
      <c r="H124" s="39">
        <v>4</v>
      </c>
      <c r="I124" s="39">
        <v>149.99</v>
      </c>
      <c r="J124" s="38" t="s">
        <v>26</v>
      </c>
      <c r="K124" s="38" t="s">
        <v>40</v>
      </c>
      <c r="L124" s="38" t="s">
        <v>27</v>
      </c>
      <c r="M124" s="37">
        <v>45076</v>
      </c>
      <c r="N124" s="40">
        <v>599.96</v>
      </c>
      <c r="O124" s="38">
        <f t="shared" ca="1" si="5"/>
        <v>1178</v>
      </c>
      <c r="P124" s="44">
        <f t="shared" ca="1" si="6"/>
        <v>3</v>
      </c>
      <c r="Q124" s="45">
        <f t="shared" si="7"/>
        <v>45657</v>
      </c>
      <c r="R124" s="43">
        <f t="shared" ca="1" si="8"/>
        <v>46276.697382638886</v>
      </c>
      <c r="S124" s="44" t="str">
        <f t="shared" si="9"/>
        <v>WW</v>
      </c>
    </row>
    <row r="125" spans="1:19" ht="18.600000000000001" thickBot="1">
      <c r="A125" s="36" t="s">
        <v>264</v>
      </c>
      <c r="B125" s="37">
        <v>45573</v>
      </c>
      <c r="C125" s="38" t="s">
        <v>211</v>
      </c>
      <c r="D125" s="38" t="s">
        <v>212</v>
      </c>
      <c r="E125" s="38" t="s">
        <v>80</v>
      </c>
      <c r="F125" s="38" t="s">
        <v>81</v>
      </c>
      <c r="G125" s="38" t="s">
        <v>19</v>
      </c>
      <c r="H125" s="39">
        <v>2</v>
      </c>
      <c r="I125" s="39">
        <v>699.99</v>
      </c>
      <c r="J125" s="38" t="s">
        <v>57</v>
      </c>
      <c r="K125" s="38" t="s">
        <v>63</v>
      </c>
      <c r="L125" s="38" t="s">
        <v>27</v>
      </c>
      <c r="M125" s="37">
        <v>45274</v>
      </c>
      <c r="N125" s="40">
        <v>1399.98</v>
      </c>
      <c r="O125" s="38">
        <f t="shared" ca="1" si="5"/>
        <v>1573</v>
      </c>
      <c r="P125" s="44">
        <f t="shared" ca="1" si="6"/>
        <v>4</v>
      </c>
      <c r="Q125" s="45">
        <f t="shared" si="7"/>
        <v>45657</v>
      </c>
      <c r="R125" s="43">
        <f t="shared" ca="1" si="8"/>
        <v>46276.697382638886</v>
      </c>
      <c r="S125" s="44" t="str">
        <f t="shared" si="9"/>
        <v>DN</v>
      </c>
    </row>
    <row r="126" spans="1:19" ht="18.600000000000001" thickBot="1">
      <c r="A126" s="36" t="s">
        <v>265</v>
      </c>
      <c r="B126" s="37">
        <v>45573</v>
      </c>
      <c r="C126" s="38" t="s">
        <v>231</v>
      </c>
      <c r="D126" s="38" t="s">
        <v>232</v>
      </c>
      <c r="E126" s="38" t="s">
        <v>44</v>
      </c>
      <c r="F126" s="38" t="s">
        <v>45</v>
      </c>
      <c r="G126" s="38" t="s">
        <v>46</v>
      </c>
      <c r="H126" s="39">
        <v>3</v>
      </c>
      <c r="I126" s="39">
        <v>149.99</v>
      </c>
      <c r="J126" s="38" t="s">
        <v>26</v>
      </c>
      <c r="K126" s="38" t="s">
        <v>35</v>
      </c>
      <c r="L126" s="38" t="s">
        <v>36</v>
      </c>
      <c r="M126" s="37">
        <v>44940</v>
      </c>
      <c r="N126" s="40">
        <v>449.97</v>
      </c>
      <c r="O126" s="38">
        <f t="shared" ca="1" si="5"/>
        <v>1880</v>
      </c>
      <c r="P126" s="44">
        <f t="shared" ca="1" si="6"/>
        <v>5</v>
      </c>
      <c r="Q126" s="45">
        <f t="shared" si="7"/>
        <v>45657</v>
      </c>
      <c r="R126" s="43">
        <f t="shared" ca="1" si="8"/>
        <v>46276.697382638886</v>
      </c>
      <c r="S126" s="44" t="str">
        <f t="shared" si="9"/>
        <v>NC</v>
      </c>
    </row>
    <row r="127" spans="1:19" ht="18.600000000000001" thickBot="1">
      <c r="A127" s="36" t="s">
        <v>266</v>
      </c>
      <c r="B127" s="37">
        <v>45576</v>
      </c>
      <c r="C127" s="38" t="s">
        <v>147</v>
      </c>
      <c r="D127" s="38" t="s">
        <v>148</v>
      </c>
      <c r="E127" s="38" t="s">
        <v>105</v>
      </c>
      <c r="F127" s="38" t="s">
        <v>106</v>
      </c>
      <c r="G127" s="38" t="s">
        <v>46</v>
      </c>
      <c r="H127" s="39">
        <v>3</v>
      </c>
      <c r="I127" s="39">
        <v>299.99</v>
      </c>
      <c r="J127" s="38" t="s">
        <v>26</v>
      </c>
      <c r="K127" s="38" t="s">
        <v>21</v>
      </c>
      <c r="L127" s="38" t="s">
        <v>36</v>
      </c>
      <c r="M127" s="37">
        <v>45174</v>
      </c>
      <c r="N127" s="40">
        <v>899.97</v>
      </c>
      <c r="O127" s="38">
        <f t="shared" ca="1" si="5"/>
        <v>1224</v>
      </c>
      <c r="P127" s="44">
        <f t="shared" ca="1" si="6"/>
        <v>3</v>
      </c>
      <c r="Q127" s="45">
        <f t="shared" si="7"/>
        <v>45657</v>
      </c>
      <c r="R127" s="43">
        <f t="shared" ca="1" si="8"/>
        <v>46276.697382638886</v>
      </c>
      <c r="S127" s="44" t="str">
        <f t="shared" si="9"/>
        <v>JJ</v>
      </c>
    </row>
    <row r="128" spans="1:19" ht="18.600000000000001" thickBot="1">
      <c r="A128" s="36" t="s">
        <v>267</v>
      </c>
      <c r="B128" s="37">
        <v>45579</v>
      </c>
      <c r="C128" s="38" t="s">
        <v>83</v>
      </c>
      <c r="D128" s="38" t="s">
        <v>84</v>
      </c>
      <c r="E128" s="38" t="s">
        <v>61</v>
      </c>
      <c r="F128" s="38" t="s">
        <v>62</v>
      </c>
      <c r="G128" s="38" t="s">
        <v>19</v>
      </c>
      <c r="H128" s="39">
        <v>3</v>
      </c>
      <c r="I128" s="39">
        <v>899.99</v>
      </c>
      <c r="J128" s="38" t="s">
        <v>34</v>
      </c>
      <c r="K128" s="38" t="s">
        <v>50</v>
      </c>
      <c r="L128" s="38" t="s">
        <v>22</v>
      </c>
      <c r="M128" s="37">
        <v>45215</v>
      </c>
      <c r="N128" s="40">
        <v>2699.97</v>
      </c>
      <c r="O128" s="38">
        <f t="shared" ca="1" si="5"/>
        <v>1355</v>
      </c>
      <c r="P128" s="44">
        <f t="shared" ca="1" si="6"/>
        <v>3</v>
      </c>
      <c r="Q128" s="45">
        <f t="shared" si="7"/>
        <v>45657</v>
      </c>
      <c r="R128" s="43">
        <f t="shared" ca="1" si="8"/>
        <v>46276.697382638886</v>
      </c>
      <c r="S128" s="44" t="str">
        <f t="shared" si="9"/>
        <v>JT</v>
      </c>
    </row>
    <row r="129" spans="1:19" ht="18.600000000000001" thickBot="1">
      <c r="A129" s="36" t="s">
        <v>268</v>
      </c>
      <c r="B129" s="37">
        <v>45581</v>
      </c>
      <c r="C129" s="38" t="s">
        <v>96</v>
      </c>
      <c r="D129" s="38" t="s">
        <v>97</v>
      </c>
      <c r="E129" s="38" t="s">
        <v>80</v>
      </c>
      <c r="F129" s="38" t="s">
        <v>81</v>
      </c>
      <c r="G129" s="38" t="s">
        <v>19</v>
      </c>
      <c r="H129" s="39">
        <v>5</v>
      </c>
      <c r="I129" s="39">
        <v>699.99</v>
      </c>
      <c r="J129" s="38" t="s">
        <v>20</v>
      </c>
      <c r="K129" s="38" t="s">
        <v>63</v>
      </c>
      <c r="L129" s="38" t="s">
        <v>36</v>
      </c>
      <c r="M129" s="37">
        <v>45008</v>
      </c>
      <c r="N129" s="40">
        <v>3499.95</v>
      </c>
      <c r="O129" s="38">
        <f t="shared" ca="1" si="5"/>
        <v>1497</v>
      </c>
      <c r="P129" s="44">
        <f t="shared" ca="1" si="6"/>
        <v>4</v>
      </c>
      <c r="Q129" s="45">
        <f t="shared" si="7"/>
        <v>45657</v>
      </c>
      <c r="R129" s="43">
        <f t="shared" ca="1" si="8"/>
        <v>46276.697382638886</v>
      </c>
      <c r="S129" s="44" t="str">
        <f t="shared" si="9"/>
        <v>HR</v>
      </c>
    </row>
    <row r="130" spans="1:19" ht="18.600000000000001" thickBot="1">
      <c r="A130" s="36" t="s">
        <v>269</v>
      </c>
      <c r="B130" s="37">
        <v>45581</v>
      </c>
      <c r="C130" s="38" t="s">
        <v>171</v>
      </c>
      <c r="D130" s="38" t="s">
        <v>172</v>
      </c>
      <c r="E130" s="38" t="s">
        <v>80</v>
      </c>
      <c r="F130" s="38" t="s">
        <v>81</v>
      </c>
      <c r="G130" s="38" t="s">
        <v>19</v>
      </c>
      <c r="H130" s="39">
        <v>4</v>
      </c>
      <c r="I130" s="39">
        <v>699.99</v>
      </c>
      <c r="J130" s="38" t="s">
        <v>26</v>
      </c>
      <c r="K130" s="38" t="s">
        <v>21</v>
      </c>
      <c r="L130" s="38" t="s">
        <v>22</v>
      </c>
      <c r="M130" s="37">
        <v>45385</v>
      </c>
      <c r="N130" s="40">
        <v>2799.96</v>
      </c>
      <c r="O130" s="38">
        <f t="shared" ref="O130:O193" ca="1" si="10">DATEDIF(M165,TODAY(),"d")</f>
        <v>1870</v>
      </c>
      <c r="P130" s="44">
        <f t="shared" ref="P130:P193" ca="1" si="11">DATEDIF(M165,TODAY(),"y")</f>
        <v>5</v>
      </c>
      <c r="Q130" s="45">
        <f t="shared" ref="Q130:Q193" si="12">EOMONTH(B165,0)</f>
        <v>45657</v>
      </c>
      <c r="R130" s="43">
        <f t="shared" ref="R130:R193" ca="1" si="13">IF(R165="",NOW(),R165)</f>
        <v>46276.697382638886</v>
      </c>
      <c r="S130" s="44" t="str">
        <f t="shared" ref="S130:S193" si="14">UPPER(LEFT(D165,1)&amp;LEFT(_xlfn.TEXTAFTER(D165," "),1))</f>
        <v>PR</v>
      </c>
    </row>
    <row r="131" spans="1:19" ht="18.600000000000001" thickBot="1">
      <c r="A131" s="36" t="s">
        <v>270</v>
      </c>
      <c r="B131" s="37">
        <v>45581</v>
      </c>
      <c r="C131" s="38" t="s">
        <v>150</v>
      </c>
      <c r="D131" s="38" t="s">
        <v>151</v>
      </c>
      <c r="E131" s="38" t="s">
        <v>61</v>
      </c>
      <c r="F131" s="38" t="s">
        <v>62</v>
      </c>
      <c r="G131" s="38" t="s">
        <v>19</v>
      </c>
      <c r="H131" s="39">
        <v>1</v>
      </c>
      <c r="I131" s="39">
        <v>899.99</v>
      </c>
      <c r="J131" s="38" t="s">
        <v>26</v>
      </c>
      <c r="K131" s="38" t="s">
        <v>63</v>
      </c>
      <c r="L131" s="38" t="s">
        <v>36</v>
      </c>
      <c r="M131" s="37">
        <v>45369</v>
      </c>
      <c r="N131" s="40">
        <v>899.99</v>
      </c>
      <c r="O131" s="38">
        <f t="shared" ca="1" si="10"/>
        <v>1076</v>
      </c>
      <c r="P131" s="44">
        <f t="shared" ca="1" si="11"/>
        <v>2</v>
      </c>
      <c r="Q131" s="45">
        <f t="shared" si="12"/>
        <v>45657</v>
      </c>
      <c r="R131" s="43">
        <f t="shared" ca="1" si="13"/>
        <v>46276.697382638886</v>
      </c>
      <c r="S131" s="44" t="str">
        <f t="shared" si="14"/>
        <v>DM</v>
      </c>
    </row>
    <row r="132" spans="1:19" ht="18.600000000000001" thickBot="1">
      <c r="A132" s="36" t="s">
        <v>271</v>
      </c>
      <c r="B132" s="37">
        <v>45583</v>
      </c>
      <c r="C132" s="38" t="s">
        <v>226</v>
      </c>
      <c r="D132" s="38" t="s">
        <v>227</v>
      </c>
      <c r="E132" s="38" t="s">
        <v>52</v>
      </c>
      <c r="F132" s="38" t="s">
        <v>53</v>
      </c>
      <c r="G132" s="38" t="s">
        <v>19</v>
      </c>
      <c r="H132" s="39">
        <v>2</v>
      </c>
      <c r="I132" s="39">
        <v>149.99</v>
      </c>
      <c r="J132" s="38" t="s">
        <v>26</v>
      </c>
      <c r="K132" s="38" t="s">
        <v>50</v>
      </c>
      <c r="L132" s="38" t="s">
        <v>22</v>
      </c>
      <c r="M132" s="37">
        <v>44916</v>
      </c>
      <c r="N132" s="40">
        <v>299.98</v>
      </c>
      <c r="O132" s="38">
        <f t="shared" ca="1" si="10"/>
        <v>1552</v>
      </c>
      <c r="P132" s="44">
        <f t="shared" ca="1" si="11"/>
        <v>4</v>
      </c>
      <c r="Q132" s="45">
        <f t="shared" si="12"/>
        <v>45657</v>
      </c>
      <c r="R132" s="43">
        <f t="shared" ca="1" si="13"/>
        <v>46276.697382638886</v>
      </c>
      <c r="S132" s="44" t="str">
        <f t="shared" si="14"/>
        <v>ST</v>
      </c>
    </row>
    <row r="133" spans="1:19" ht="18.600000000000001" thickBot="1">
      <c r="A133" s="36" t="s">
        <v>272</v>
      </c>
      <c r="B133" s="37">
        <v>45586</v>
      </c>
      <c r="C133" s="38" t="s">
        <v>226</v>
      </c>
      <c r="D133" s="38" t="s">
        <v>227</v>
      </c>
      <c r="E133" s="38" t="s">
        <v>117</v>
      </c>
      <c r="F133" s="38" t="s">
        <v>118</v>
      </c>
      <c r="G133" s="38" t="s">
        <v>19</v>
      </c>
      <c r="H133" s="39">
        <v>3</v>
      </c>
      <c r="I133" s="39">
        <v>89.99</v>
      </c>
      <c r="J133" s="38" t="s">
        <v>34</v>
      </c>
      <c r="K133" s="38" t="s">
        <v>21</v>
      </c>
      <c r="L133" s="38" t="s">
        <v>22</v>
      </c>
      <c r="M133" s="37">
        <v>44551</v>
      </c>
      <c r="N133" s="40">
        <v>269.97000000000003</v>
      </c>
      <c r="O133" s="38">
        <f t="shared" ca="1" si="10"/>
        <v>1085</v>
      </c>
      <c r="P133" s="44">
        <f t="shared" ca="1" si="11"/>
        <v>2</v>
      </c>
      <c r="Q133" s="45">
        <f t="shared" si="12"/>
        <v>45657</v>
      </c>
      <c r="R133" s="43">
        <f t="shared" ca="1" si="13"/>
        <v>46276.697382638886</v>
      </c>
      <c r="S133" s="44" t="str">
        <f t="shared" si="14"/>
        <v>EW</v>
      </c>
    </row>
    <row r="134" spans="1:19" ht="18.600000000000001" thickBot="1">
      <c r="A134" s="36" t="s">
        <v>273</v>
      </c>
      <c r="B134" s="37">
        <v>45588</v>
      </c>
      <c r="C134" s="38" t="s">
        <v>38</v>
      </c>
      <c r="D134" s="38" t="s">
        <v>39</v>
      </c>
      <c r="E134" s="38" t="s">
        <v>52</v>
      </c>
      <c r="F134" s="38" t="s">
        <v>53</v>
      </c>
      <c r="G134" s="38" t="s">
        <v>19</v>
      </c>
      <c r="H134" s="39">
        <v>2</v>
      </c>
      <c r="I134" s="39">
        <v>149.99</v>
      </c>
      <c r="J134" s="38" t="s">
        <v>34</v>
      </c>
      <c r="K134" s="38" t="s">
        <v>21</v>
      </c>
      <c r="L134" s="38" t="s">
        <v>22</v>
      </c>
      <c r="M134" s="37">
        <v>44473</v>
      </c>
      <c r="N134" s="40">
        <v>299.98</v>
      </c>
      <c r="O134" s="38">
        <f t="shared" ca="1" si="10"/>
        <v>1516</v>
      </c>
      <c r="P134" s="44">
        <f t="shared" ca="1" si="11"/>
        <v>4</v>
      </c>
      <c r="Q134" s="45">
        <f t="shared" si="12"/>
        <v>45657</v>
      </c>
      <c r="R134" s="43">
        <f t="shared" ca="1" si="13"/>
        <v>46276.697382638886</v>
      </c>
      <c r="S134" s="44" t="str">
        <f t="shared" si="14"/>
        <v>DM</v>
      </c>
    </row>
    <row r="135" spans="1:19" ht="18.600000000000001" thickBot="1">
      <c r="A135" s="36" t="s">
        <v>274</v>
      </c>
      <c r="B135" s="37">
        <v>45588</v>
      </c>
      <c r="C135" s="38" t="s">
        <v>154</v>
      </c>
      <c r="D135" s="38" t="s">
        <v>155</v>
      </c>
      <c r="E135" s="38" t="s">
        <v>80</v>
      </c>
      <c r="F135" s="38" t="s">
        <v>81</v>
      </c>
      <c r="G135" s="38" t="s">
        <v>19</v>
      </c>
      <c r="H135" s="39">
        <v>2</v>
      </c>
      <c r="I135" s="39">
        <v>699.99</v>
      </c>
      <c r="J135" s="38" t="s">
        <v>20</v>
      </c>
      <c r="K135" s="38" t="s">
        <v>21</v>
      </c>
      <c r="L135" s="38" t="s">
        <v>22</v>
      </c>
      <c r="M135" s="37">
        <v>44992</v>
      </c>
      <c r="N135" s="40">
        <v>1399.98</v>
      </c>
      <c r="O135" s="38">
        <f t="shared" ca="1" si="10"/>
        <v>1651</v>
      </c>
      <c r="P135" s="44">
        <f t="shared" ca="1" si="11"/>
        <v>4</v>
      </c>
      <c r="Q135" s="45">
        <f t="shared" si="12"/>
        <v>45657</v>
      </c>
      <c r="R135" s="43">
        <f t="shared" ca="1" si="13"/>
        <v>46276.697382638886</v>
      </c>
      <c r="S135" s="44" t="str">
        <f t="shared" si="14"/>
        <v>DK</v>
      </c>
    </row>
    <row r="136" spans="1:19" ht="18.600000000000001" thickBot="1">
      <c r="A136" s="36" t="s">
        <v>275</v>
      </c>
      <c r="B136" s="37">
        <v>45589</v>
      </c>
      <c r="C136" s="38" t="s">
        <v>158</v>
      </c>
      <c r="D136" s="38" t="s">
        <v>159</v>
      </c>
      <c r="E136" s="38" t="s">
        <v>80</v>
      </c>
      <c r="F136" s="38" t="s">
        <v>81</v>
      </c>
      <c r="G136" s="38" t="s">
        <v>19</v>
      </c>
      <c r="H136" s="39">
        <v>5</v>
      </c>
      <c r="I136" s="39">
        <v>699.99</v>
      </c>
      <c r="J136" s="38" t="s">
        <v>20</v>
      </c>
      <c r="K136" s="38" t="s">
        <v>40</v>
      </c>
      <c r="L136" s="38" t="s">
        <v>27</v>
      </c>
      <c r="M136" s="37">
        <v>44635</v>
      </c>
      <c r="N136" s="40">
        <v>3499.95</v>
      </c>
      <c r="O136" s="38">
        <f t="shared" ca="1" si="10"/>
        <v>1037</v>
      </c>
      <c r="P136" s="44">
        <f t="shared" ca="1" si="11"/>
        <v>2</v>
      </c>
      <c r="Q136" s="45">
        <f t="shared" si="12"/>
        <v>45657</v>
      </c>
      <c r="R136" s="43">
        <f t="shared" ca="1" si="13"/>
        <v>46276.697382638886</v>
      </c>
      <c r="S136" s="44" t="str">
        <f t="shared" si="14"/>
        <v>MB</v>
      </c>
    </row>
    <row r="137" spans="1:19" ht="18.600000000000001" thickBot="1">
      <c r="A137" s="36" t="s">
        <v>276</v>
      </c>
      <c r="B137" s="37">
        <v>45592</v>
      </c>
      <c r="C137" s="38" t="s">
        <v>171</v>
      </c>
      <c r="D137" s="38" t="s">
        <v>172</v>
      </c>
      <c r="E137" s="38" t="s">
        <v>117</v>
      </c>
      <c r="F137" s="38" t="s">
        <v>118</v>
      </c>
      <c r="G137" s="38" t="s">
        <v>19</v>
      </c>
      <c r="H137" s="39">
        <v>3</v>
      </c>
      <c r="I137" s="39">
        <v>89.99</v>
      </c>
      <c r="J137" s="38" t="s">
        <v>26</v>
      </c>
      <c r="K137" s="38" t="s">
        <v>40</v>
      </c>
      <c r="L137" s="38" t="s">
        <v>36</v>
      </c>
      <c r="M137" s="37">
        <v>44615</v>
      </c>
      <c r="N137" s="40">
        <v>269.97000000000003</v>
      </c>
      <c r="O137" s="38">
        <f t="shared" ca="1" si="10"/>
        <v>996</v>
      </c>
      <c r="P137" s="44">
        <f t="shared" ca="1" si="11"/>
        <v>2</v>
      </c>
      <c r="Q137" s="45">
        <f t="shared" si="12"/>
        <v>45657</v>
      </c>
      <c r="R137" s="43">
        <f t="shared" ca="1" si="13"/>
        <v>46276.697382638886</v>
      </c>
      <c r="S137" s="44" t="str">
        <f t="shared" si="14"/>
        <v>LM</v>
      </c>
    </row>
    <row r="138" spans="1:19" ht="18.600000000000001" thickBot="1">
      <c r="A138" s="36" t="s">
        <v>277</v>
      </c>
      <c r="B138" s="37">
        <v>45597</v>
      </c>
      <c r="C138" s="38" t="s">
        <v>15</v>
      </c>
      <c r="D138" s="38" t="s">
        <v>16</v>
      </c>
      <c r="E138" s="38" t="s">
        <v>17</v>
      </c>
      <c r="F138" s="38" t="s">
        <v>18</v>
      </c>
      <c r="G138" s="38" t="s">
        <v>19</v>
      </c>
      <c r="H138" s="39">
        <v>5</v>
      </c>
      <c r="I138" s="39">
        <v>249.99</v>
      </c>
      <c r="J138" s="38" t="s">
        <v>26</v>
      </c>
      <c r="K138" s="38" t="s">
        <v>35</v>
      </c>
      <c r="L138" s="38" t="s">
        <v>36</v>
      </c>
      <c r="M138" s="37">
        <v>44881</v>
      </c>
      <c r="N138" s="40">
        <v>1249.95</v>
      </c>
      <c r="O138" s="38">
        <f t="shared" ca="1" si="10"/>
        <v>1754</v>
      </c>
      <c r="P138" s="44">
        <f t="shared" ca="1" si="11"/>
        <v>4</v>
      </c>
      <c r="Q138" s="45">
        <f t="shared" si="12"/>
        <v>45657</v>
      </c>
      <c r="R138" s="43">
        <f t="shared" ca="1" si="13"/>
        <v>46276.697382638886</v>
      </c>
      <c r="S138" s="44" t="str">
        <f t="shared" si="14"/>
        <v>DM</v>
      </c>
    </row>
    <row r="139" spans="1:19" ht="18.600000000000001" thickBot="1">
      <c r="A139" s="36" t="s">
        <v>278</v>
      </c>
      <c r="B139" s="37">
        <v>45600</v>
      </c>
      <c r="C139" s="38" t="s">
        <v>65</v>
      </c>
      <c r="D139" s="38" t="s">
        <v>66</v>
      </c>
      <c r="E139" s="38" t="s">
        <v>105</v>
      </c>
      <c r="F139" s="38" t="s">
        <v>106</v>
      </c>
      <c r="G139" s="38" t="s">
        <v>46</v>
      </c>
      <c r="H139" s="39">
        <v>3</v>
      </c>
      <c r="I139" s="39">
        <v>299.99</v>
      </c>
      <c r="J139" s="38" t="s">
        <v>26</v>
      </c>
      <c r="K139" s="38" t="s">
        <v>35</v>
      </c>
      <c r="L139" s="38" t="s">
        <v>36</v>
      </c>
      <c r="M139" s="37">
        <v>44502</v>
      </c>
      <c r="N139" s="40">
        <v>899.97</v>
      </c>
      <c r="O139" s="38">
        <f t="shared" ca="1" si="10"/>
        <v>1555</v>
      </c>
      <c r="P139" s="44">
        <f t="shared" ca="1" si="11"/>
        <v>4</v>
      </c>
      <c r="Q139" s="45">
        <f t="shared" si="12"/>
        <v>45657</v>
      </c>
      <c r="R139" s="43">
        <f t="shared" ca="1" si="13"/>
        <v>46276.697382638886</v>
      </c>
      <c r="S139" s="44" t="str">
        <f t="shared" si="14"/>
        <v>KS</v>
      </c>
    </row>
    <row r="140" spans="1:19" ht="18.600000000000001" thickBot="1">
      <c r="A140" s="36" t="s">
        <v>279</v>
      </c>
      <c r="B140" s="37">
        <v>45603</v>
      </c>
      <c r="C140" s="38" t="s">
        <v>99</v>
      </c>
      <c r="D140" s="38" t="s">
        <v>100</v>
      </c>
      <c r="E140" s="38" t="s">
        <v>117</v>
      </c>
      <c r="F140" s="38" t="s">
        <v>118</v>
      </c>
      <c r="G140" s="38" t="s">
        <v>19</v>
      </c>
      <c r="H140" s="39">
        <v>3</v>
      </c>
      <c r="I140" s="39">
        <v>89.99</v>
      </c>
      <c r="J140" s="38" t="s">
        <v>26</v>
      </c>
      <c r="K140" s="38" t="s">
        <v>40</v>
      </c>
      <c r="L140" s="38" t="s">
        <v>27</v>
      </c>
      <c r="M140" s="37">
        <v>44420</v>
      </c>
      <c r="N140" s="40">
        <v>269.97000000000003</v>
      </c>
      <c r="O140" s="38">
        <f t="shared" ca="1" si="10"/>
        <v>1505</v>
      </c>
      <c r="P140" s="44">
        <f t="shared" ca="1" si="11"/>
        <v>4</v>
      </c>
      <c r="Q140" s="45">
        <f t="shared" si="12"/>
        <v>45657</v>
      </c>
      <c r="R140" s="43">
        <f t="shared" ca="1" si="13"/>
        <v>46276.697382638886</v>
      </c>
      <c r="S140" s="44" t="str">
        <f t="shared" si="14"/>
        <v>MB</v>
      </c>
    </row>
    <row r="141" spans="1:19" ht="18.600000000000001" thickBot="1">
      <c r="A141" s="36" t="s">
        <v>280</v>
      </c>
      <c r="B141" s="37">
        <v>45604</v>
      </c>
      <c r="C141" s="38" t="s">
        <v>89</v>
      </c>
      <c r="D141" s="38" t="s">
        <v>90</v>
      </c>
      <c r="E141" s="38" t="s">
        <v>44</v>
      </c>
      <c r="F141" s="38" t="s">
        <v>45</v>
      </c>
      <c r="G141" s="38" t="s">
        <v>46</v>
      </c>
      <c r="H141" s="39">
        <v>2</v>
      </c>
      <c r="I141" s="39">
        <v>149.99</v>
      </c>
      <c r="J141" s="38" t="s">
        <v>26</v>
      </c>
      <c r="K141" s="38" t="s">
        <v>50</v>
      </c>
      <c r="L141" s="38" t="s">
        <v>27</v>
      </c>
      <c r="M141" s="37">
        <v>44848</v>
      </c>
      <c r="N141" s="40">
        <v>299.98</v>
      </c>
      <c r="O141" s="38">
        <f t="shared" ca="1" si="10"/>
        <v>1753</v>
      </c>
      <c r="P141" s="44">
        <f t="shared" ca="1" si="11"/>
        <v>4</v>
      </c>
      <c r="Q141" s="45">
        <f t="shared" si="12"/>
        <v>45657</v>
      </c>
      <c r="R141" s="43">
        <f t="shared" ca="1" si="13"/>
        <v>46276.697382638886</v>
      </c>
      <c r="S141" s="44" t="str">
        <f t="shared" si="14"/>
        <v>HR</v>
      </c>
    </row>
    <row r="142" spans="1:19" ht="18.600000000000001" thickBot="1">
      <c r="A142" s="36" t="s">
        <v>281</v>
      </c>
      <c r="B142" s="37">
        <v>45605</v>
      </c>
      <c r="C142" s="38" t="s">
        <v>185</v>
      </c>
      <c r="D142" s="38" t="s">
        <v>186</v>
      </c>
      <c r="E142" s="38" t="s">
        <v>17</v>
      </c>
      <c r="F142" s="38" t="s">
        <v>18</v>
      </c>
      <c r="G142" s="38" t="s">
        <v>19</v>
      </c>
      <c r="H142" s="39">
        <v>1</v>
      </c>
      <c r="I142" s="39">
        <v>249.99</v>
      </c>
      <c r="J142" s="38" t="s">
        <v>26</v>
      </c>
      <c r="K142" s="38" t="s">
        <v>40</v>
      </c>
      <c r="L142" s="38" t="s">
        <v>27</v>
      </c>
      <c r="M142" s="37">
        <v>44828</v>
      </c>
      <c r="N142" s="40">
        <v>249.99</v>
      </c>
      <c r="O142" s="38">
        <f t="shared" ca="1" si="10"/>
        <v>1685</v>
      </c>
      <c r="P142" s="44">
        <f t="shared" ca="1" si="11"/>
        <v>4</v>
      </c>
      <c r="Q142" s="45">
        <f t="shared" si="12"/>
        <v>45657</v>
      </c>
      <c r="R142" s="43">
        <f t="shared" ca="1" si="13"/>
        <v>46276.697382638886</v>
      </c>
      <c r="S142" s="44" t="str">
        <f t="shared" si="14"/>
        <v>RT</v>
      </c>
    </row>
    <row r="143" spans="1:19" ht="18.600000000000001" thickBot="1">
      <c r="A143" s="36" t="s">
        <v>282</v>
      </c>
      <c r="B143" s="37">
        <v>45607</v>
      </c>
      <c r="C143" s="38" t="s">
        <v>72</v>
      </c>
      <c r="D143" s="38" t="s">
        <v>73</v>
      </c>
      <c r="E143" s="38" t="s">
        <v>52</v>
      </c>
      <c r="F143" s="38" t="s">
        <v>53</v>
      </c>
      <c r="G143" s="38" t="s">
        <v>19</v>
      </c>
      <c r="H143" s="39">
        <v>3</v>
      </c>
      <c r="I143" s="39">
        <v>149.99</v>
      </c>
      <c r="J143" s="38" t="s">
        <v>20</v>
      </c>
      <c r="K143" s="38" t="s">
        <v>40</v>
      </c>
      <c r="L143" s="38" t="s">
        <v>22</v>
      </c>
      <c r="M143" s="37">
        <v>44769</v>
      </c>
      <c r="N143" s="40">
        <v>449.97</v>
      </c>
      <c r="O143" s="38">
        <f t="shared" ca="1" si="10"/>
        <v>929</v>
      </c>
      <c r="P143" s="44">
        <f t="shared" ca="1" si="11"/>
        <v>2</v>
      </c>
      <c r="Q143" s="45">
        <f t="shared" si="12"/>
        <v>45657</v>
      </c>
      <c r="R143" s="43">
        <f t="shared" ca="1" si="13"/>
        <v>46276.697382638886</v>
      </c>
      <c r="S143" s="44" t="str">
        <f t="shared" si="14"/>
        <v>NC</v>
      </c>
    </row>
    <row r="144" spans="1:19" ht="18.600000000000001" thickBot="1">
      <c r="A144" s="36" t="s">
        <v>283</v>
      </c>
      <c r="B144" s="37">
        <v>45607</v>
      </c>
      <c r="C144" s="38" t="s">
        <v>15</v>
      </c>
      <c r="D144" s="38" t="s">
        <v>16</v>
      </c>
      <c r="E144" s="38" t="s">
        <v>31</v>
      </c>
      <c r="F144" s="38" t="s">
        <v>32</v>
      </c>
      <c r="G144" s="38" t="s">
        <v>33</v>
      </c>
      <c r="H144" s="39">
        <v>5</v>
      </c>
      <c r="I144" s="39">
        <v>59.99</v>
      </c>
      <c r="J144" s="38" t="s">
        <v>34</v>
      </c>
      <c r="K144" s="38" t="s">
        <v>50</v>
      </c>
      <c r="L144" s="38" t="s">
        <v>27</v>
      </c>
      <c r="M144" s="37">
        <v>44694</v>
      </c>
      <c r="N144" s="40">
        <v>299.95</v>
      </c>
      <c r="O144" s="38">
        <f t="shared" ca="1" si="10"/>
        <v>1226</v>
      </c>
      <c r="P144" s="44">
        <f t="shared" ca="1" si="11"/>
        <v>3</v>
      </c>
      <c r="Q144" s="45">
        <f t="shared" si="12"/>
        <v>45657</v>
      </c>
      <c r="R144" s="43">
        <f t="shared" ca="1" si="13"/>
        <v>46276.697382638886</v>
      </c>
      <c r="S144" s="44" t="str">
        <f t="shared" si="14"/>
        <v>MC</v>
      </c>
    </row>
    <row r="145" spans="1:19" ht="18.600000000000001" thickBot="1">
      <c r="A145" s="36" t="s">
        <v>284</v>
      </c>
      <c r="B145" s="37">
        <v>45607</v>
      </c>
      <c r="C145" s="38" t="s">
        <v>99</v>
      </c>
      <c r="D145" s="38" t="s">
        <v>100</v>
      </c>
      <c r="E145" s="38" t="s">
        <v>17</v>
      </c>
      <c r="F145" s="38" t="s">
        <v>18</v>
      </c>
      <c r="G145" s="38" t="s">
        <v>19</v>
      </c>
      <c r="H145" s="39">
        <v>4</v>
      </c>
      <c r="I145" s="39">
        <v>249.99</v>
      </c>
      <c r="J145" s="38" t="s">
        <v>26</v>
      </c>
      <c r="K145" s="38" t="s">
        <v>50</v>
      </c>
      <c r="L145" s="38" t="s">
        <v>36</v>
      </c>
      <c r="M145" s="37">
        <v>44659</v>
      </c>
      <c r="N145" s="40">
        <v>999.96</v>
      </c>
      <c r="O145" s="38">
        <f t="shared" ca="1" si="10"/>
        <v>1712</v>
      </c>
      <c r="P145" s="44">
        <f t="shared" ca="1" si="11"/>
        <v>4</v>
      </c>
      <c r="Q145" s="45">
        <f t="shared" si="12"/>
        <v>45688</v>
      </c>
      <c r="R145" s="43">
        <f t="shared" ca="1" si="13"/>
        <v>46276.697382638886</v>
      </c>
      <c r="S145" s="44" t="str">
        <f t="shared" si="14"/>
        <v>DK</v>
      </c>
    </row>
    <row r="146" spans="1:19" ht="18.600000000000001" thickBot="1">
      <c r="A146" s="36" t="s">
        <v>285</v>
      </c>
      <c r="B146" s="37">
        <v>45608</v>
      </c>
      <c r="C146" s="38" t="s">
        <v>154</v>
      </c>
      <c r="D146" s="38" t="s">
        <v>155</v>
      </c>
      <c r="E146" s="38" t="s">
        <v>44</v>
      </c>
      <c r="F146" s="38" t="s">
        <v>45</v>
      </c>
      <c r="G146" s="38" t="s">
        <v>46</v>
      </c>
      <c r="H146" s="39">
        <v>5</v>
      </c>
      <c r="I146" s="39">
        <v>149.99</v>
      </c>
      <c r="J146" s="38" t="s">
        <v>34</v>
      </c>
      <c r="K146" s="38" t="s">
        <v>21</v>
      </c>
      <c r="L146" s="38" t="s">
        <v>22</v>
      </c>
      <c r="M146" s="37">
        <v>44901</v>
      </c>
      <c r="N146" s="40">
        <v>749.95</v>
      </c>
      <c r="O146" s="38">
        <f t="shared" ca="1" si="10"/>
        <v>1524</v>
      </c>
      <c r="P146" s="44">
        <f t="shared" ca="1" si="11"/>
        <v>4</v>
      </c>
      <c r="Q146" s="45">
        <f t="shared" si="12"/>
        <v>45688</v>
      </c>
      <c r="R146" s="43">
        <f t="shared" ca="1" si="13"/>
        <v>46276.697382638886</v>
      </c>
      <c r="S146" s="44" t="str">
        <f t="shared" si="14"/>
        <v>AE</v>
      </c>
    </row>
    <row r="147" spans="1:19" ht="18.600000000000001" thickBot="1">
      <c r="A147" s="36" t="s">
        <v>286</v>
      </c>
      <c r="B147" s="37">
        <v>45608</v>
      </c>
      <c r="C147" s="38" t="s">
        <v>83</v>
      </c>
      <c r="D147" s="38" t="s">
        <v>84</v>
      </c>
      <c r="E147" s="38" t="s">
        <v>31</v>
      </c>
      <c r="F147" s="38" t="s">
        <v>32</v>
      </c>
      <c r="G147" s="38" t="s">
        <v>33</v>
      </c>
      <c r="H147" s="39">
        <v>3</v>
      </c>
      <c r="I147" s="39">
        <v>59.99</v>
      </c>
      <c r="J147" s="38" t="s">
        <v>57</v>
      </c>
      <c r="K147" s="38" t="s">
        <v>35</v>
      </c>
      <c r="L147" s="38" t="s">
        <v>36</v>
      </c>
      <c r="M147" s="37">
        <v>45260</v>
      </c>
      <c r="N147" s="40">
        <v>179.97</v>
      </c>
      <c r="O147" s="38">
        <f t="shared" ca="1" si="10"/>
        <v>1452</v>
      </c>
      <c r="P147" s="44">
        <f t="shared" ca="1" si="11"/>
        <v>3</v>
      </c>
      <c r="Q147" s="45">
        <f t="shared" si="12"/>
        <v>45688</v>
      </c>
      <c r="R147" s="43">
        <f t="shared" ca="1" si="13"/>
        <v>46276.697382638886</v>
      </c>
      <c r="S147" s="44" t="str">
        <f t="shared" si="14"/>
        <v>LA</v>
      </c>
    </row>
    <row r="148" spans="1:19" ht="18.600000000000001" thickBot="1">
      <c r="A148" s="36" t="s">
        <v>287</v>
      </c>
      <c r="B148" s="37">
        <v>45613</v>
      </c>
      <c r="C148" s="38" t="s">
        <v>234</v>
      </c>
      <c r="D148" s="38" t="s">
        <v>235</v>
      </c>
      <c r="E148" s="38" t="s">
        <v>44</v>
      </c>
      <c r="F148" s="38" t="s">
        <v>45</v>
      </c>
      <c r="G148" s="38" t="s">
        <v>46</v>
      </c>
      <c r="H148" s="39">
        <v>5</v>
      </c>
      <c r="I148" s="39">
        <v>149.99</v>
      </c>
      <c r="J148" s="38" t="s">
        <v>20</v>
      </c>
      <c r="K148" s="38" t="s">
        <v>40</v>
      </c>
      <c r="L148" s="38" t="s">
        <v>22</v>
      </c>
      <c r="M148" s="37">
        <v>44869</v>
      </c>
      <c r="N148" s="40">
        <v>749.95</v>
      </c>
      <c r="O148" s="38">
        <f t="shared" ca="1" si="10"/>
        <v>1854</v>
      </c>
      <c r="P148" s="44">
        <f t="shared" ca="1" si="11"/>
        <v>5</v>
      </c>
      <c r="Q148" s="45">
        <f t="shared" si="12"/>
        <v>45688</v>
      </c>
      <c r="R148" s="43">
        <f t="shared" ca="1" si="13"/>
        <v>46276.697382638886</v>
      </c>
      <c r="S148" s="44" t="str">
        <f t="shared" si="14"/>
        <v>MB</v>
      </c>
    </row>
    <row r="149" spans="1:19" ht="18.600000000000001" thickBot="1">
      <c r="A149" s="36" t="s">
        <v>288</v>
      </c>
      <c r="B149" s="37">
        <v>45613</v>
      </c>
      <c r="C149" s="38" t="s">
        <v>86</v>
      </c>
      <c r="D149" s="38" t="s">
        <v>87</v>
      </c>
      <c r="E149" s="38" t="s">
        <v>80</v>
      </c>
      <c r="F149" s="38" t="s">
        <v>81</v>
      </c>
      <c r="G149" s="38" t="s">
        <v>19</v>
      </c>
      <c r="H149" s="39">
        <v>2</v>
      </c>
      <c r="I149" s="39">
        <v>699.99</v>
      </c>
      <c r="J149" s="38" t="s">
        <v>34</v>
      </c>
      <c r="K149" s="38" t="s">
        <v>50</v>
      </c>
      <c r="L149" s="38" t="s">
        <v>36</v>
      </c>
      <c r="M149" s="37">
        <v>44770</v>
      </c>
      <c r="N149" s="40">
        <v>1399.98</v>
      </c>
      <c r="O149" s="38">
        <f t="shared" ca="1" si="10"/>
        <v>1171</v>
      </c>
      <c r="P149" s="44">
        <f t="shared" ca="1" si="11"/>
        <v>3</v>
      </c>
      <c r="Q149" s="45">
        <f t="shared" si="12"/>
        <v>45688</v>
      </c>
      <c r="R149" s="43">
        <f t="shared" ca="1" si="13"/>
        <v>46276.697382638886</v>
      </c>
      <c r="S149" s="44" t="str">
        <f t="shared" si="14"/>
        <v>KH</v>
      </c>
    </row>
    <row r="150" spans="1:19" ht="18.600000000000001" thickBot="1">
      <c r="A150" s="36" t="s">
        <v>289</v>
      </c>
      <c r="B150" s="37">
        <v>45617</v>
      </c>
      <c r="C150" s="38" t="s">
        <v>123</v>
      </c>
      <c r="D150" s="38" t="s">
        <v>124</v>
      </c>
      <c r="E150" s="38" t="s">
        <v>126</v>
      </c>
      <c r="F150" s="38" t="s">
        <v>127</v>
      </c>
      <c r="G150" s="38" t="s">
        <v>46</v>
      </c>
      <c r="H150" s="39">
        <v>4</v>
      </c>
      <c r="I150" s="39">
        <v>199.99</v>
      </c>
      <c r="J150" s="38" t="s">
        <v>57</v>
      </c>
      <c r="K150" s="38" t="s">
        <v>21</v>
      </c>
      <c r="L150" s="38" t="s">
        <v>27</v>
      </c>
      <c r="M150" s="37">
        <v>44427</v>
      </c>
      <c r="N150" s="40">
        <v>799.96</v>
      </c>
      <c r="O150" s="38">
        <f t="shared" ca="1" si="10"/>
        <v>1643</v>
      </c>
      <c r="P150" s="44">
        <f t="shared" ca="1" si="11"/>
        <v>4</v>
      </c>
      <c r="Q150" s="45">
        <f t="shared" si="12"/>
        <v>45688</v>
      </c>
      <c r="R150" s="43">
        <f t="shared" ca="1" si="13"/>
        <v>46276.697382638886</v>
      </c>
      <c r="S150" s="44" t="str">
        <f t="shared" si="14"/>
        <v>NC</v>
      </c>
    </row>
    <row r="151" spans="1:19" ht="18.600000000000001" thickBot="1">
      <c r="A151" s="36" t="s">
        <v>290</v>
      </c>
      <c r="B151" s="37">
        <v>45619</v>
      </c>
      <c r="C151" s="38" t="s">
        <v>192</v>
      </c>
      <c r="D151" s="38" t="s">
        <v>193</v>
      </c>
      <c r="E151" s="38" t="s">
        <v>31</v>
      </c>
      <c r="F151" s="38" t="s">
        <v>32</v>
      </c>
      <c r="G151" s="38" t="s">
        <v>33</v>
      </c>
      <c r="H151" s="39">
        <v>1</v>
      </c>
      <c r="I151" s="39">
        <v>59.99</v>
      </c>
      <c r="J151" s="38" t="s">
        <v>57</v>
      </c>
      <c r="K151" s="38" t="s">
        <v>50</v>
      </c>
      <c r="L151" s="38" t="s">
        <v>36</v>
      </c>
      <c r="M151" s="37">
        <v>44560</v>
      </c>
      <c r="N151" s="40">
        <v>59.99</v>
      </c>
      <c r="O151" s="38">
        <f t="shared" ca="1" si="10"/>
        <v>946</v>
      </c>
      <c r="P151" s="44">
        <f t="shared" ca="1" si="11"/>
        <v>2</v>
      </c>
      <c r="Q151" s="45">
        <f t="shared" si="12"/>
        <v>45688</v>
      </c>
      <c r="R151" s="43">
        <f t="shared" ca="1" si="13"/>
        <v>46276.697382638886</v>
      </c>
      <c r="S151" s="44" t="str">
        <f t="shared" si="14"/>
        <v>VS</v>
      </c>
    </row>
    <row r="152" spans="1:19" ht="18.600000000000001" thickBot="1">
      <c r="A152" s="36" t="s">
        <v>291</v>
      </c>
      <c r="B152" s="37">
        <v>45619</v>
      </c>
      <c r="C152" s="38" t="s">
        <v>154</v>
      </c>
      <c r="D152" s="38" t="s">
        <v>155</v>
      </c>
      <c r="E152" s="38" t="s">
        <v>80</v>
      </c>
      <c r="F152" s="38" t="s">
        <v>81</v>
      </c>
      <c r="G152" s="38" t="s">
        <v>19</v>
      </c>
      <c r="H152" s="39">
        <v>3</v>
      </c>
      <c r="I152" s="39">
        <v>699.99</v>
      </c>
      <c r="J152" s="38" t="s">
        <v>34</v>
      </c>
      <c r="K152" s="38" t="s">
        <v>50</v>
      </c>
      <c r="L152" s="38" t="s">
        <v>36</v>
      </c>
      <c r="M152" s="37">
        <v>44583</v>
      </c>
      <c r="N152" s="40">
        <v>2099.9699999999998</v>
      </c>
      <c r="O152" s="38">
        <f t="shared" ca="1" si="10"/>
        <v>1740</v>
      </c>
      <c r="P152" s="44">
        <f t="shared" ca="1" si="11"/>
        <v>4</v>
      </c>
      <c r="Q152" s="45">
        <f t="shared" si="12"/>
        <v>45688</v>
      </c>
      <c r="R152" s="43">
        <f t="shared" ca="1" si="13"/>
        <v>46276.697382638886</v>
      </c>
      <c r="S152" s="44" t="str">
        <f t="shared" si="14"/>
        <v>ST</v>
      </c>
    </row>
    <row r="153" spans="1:19" ht="18.600000000000001" thickBot="1">
      <c r="A153" s="36" t="s">
        <v>292</v>
      </c>
      <c r="B153" s="37">
        <v>45622</v>
      </c>
      <c r="C153" s="38" t="s">
        <v>293</v>
      </c>
      <c r="D153" s="38" t="s">
        <v>294</v>
      </c>
      <c r="E153" s="38" t="s">
        <v>17</v>
      </c>
      <c r="F153" s="38" t="s">
        <v>18</v>
      </c>
      <c r="G153" s="38" t="s">
        <v>19</v>
      </c>
      <c r="H153" s="39">
        <v>5</v>
      </c>
      <c r="I153" s="39">
        <v>249.99</v>
      </c>
      <c r="J153" s="38" t="s">
        <v>26</v>
      </c>
      <c r="K153" s="38" t="s">
        <v>40</v>
      </c>
      <c r="L153" s="38" t="s">
        <v>22</v>
      </c>
      <c r="M153" s="37">
        <v>44873</v>
      </c>
      <c r="N153" s="40">
        <v>1249.95</v>
      </c>
      <c r="O153" s="38">
        <f t="shared" ca="1" si="10"/>
        <v>1674</v>
      </c>
      <c r="P153" s="44">
        <f t="shared" ca="1" si="11"/>
        <v>4</v>
      </c>
      <c r="Q153" s="45">
        <f t="shared" si="12"/>
        <v>45688</v>
      </c>
      <c r="R153" s="43">
        <f t="shared" ca="1" si="13"/>
        <v>46276.697382638886</v>
      </c>
      <c r="S153" s="44" t="str">
        <f t="shared" si="14"/>
        <v>MR</v>
      </c>
    </row>
    <row r="154" spans="1:19" ht="18.600000000000001" thickBot="1">
      <c r="A154" s="36" t="s">
        <v>295</v>
      </c>
      <c r="B154" s="37">
        <v>45623</v>
      </c>
      <c r="C154" s="38" t="s">
        <v>112</v>
      </c>
      <c r="D154" s="38" t="s">
        <v>113</v>
      </c>
      <c r="E154" s="38" t="s">
        <v>44</v>
      </c>
      <c r="F154" s="38" t="s">
        <v>45</v>
      </c>
      <c r="G154" s="38" t="s">
        <v>46</v>
      </c>
      <c r="H154" s="39">
        <v>2</v>
      </c>
      <c r="I154" s="39">
        <v>149.99</v>
      </c>
      <c r="J154" s="38" t="s">
        <v>20</v>
      </c>
      <c r="K154" s="38" t="s">
        <v>35</v>
      </c>
      <c r="L154" s="38" t="s">
        <v>36</v>
      </c>
      <c r="M154" s="37">
        <v>45101</v>
      </c>
      <c r="N154" s="40">
        <v>299.98</v>
      </c>
      <c r="O154" s="38">
        <f t="shared" ca="1" si="10"/>
        <v>954</v>
      </c>
      <c r="P154" s="44">
        <f t="shared" ca="1" si="11"/>
        <v>2</v>
      </c>
      <c r="Q154" s="45">
        <f t="shared" si="12"/>
        <v>45688</v>
      </c>
      <c r="R154" s="43">
        <f t="shared" ca="1" si="13"/>
        <v>46276.697382638886</v>
      </c>
      <c r="S154" s="44" t="str">
        <f t="shared" si="14"/>
        <v>DW</v>
      </c>
    </row>
    <row r="155" spans="1:19" ht="18.600000000000001" thickBot="1">
      <c r="A155" s="36" t="s">
        <v>296</v>
      </c>
      <c r="B155" s="37">
        <v>45627</v>
      </c>
      <c r="C155" s="38" t="s">
        <v>29</v>
      </c>
      <c r="D155" s="38" t="s">
        <v>30</v>
      </c>
      <c r="E155" s="38" t="s">
        <v>105</v>
      </c>
      <c r="F155" s="38" t="s">
        <v>106</v>
      </c>
      <c r="G155" s="38" t="s">
        <v>46</v>
      </c>
      <c r="H155" s="39">
        <v>3</v>
      </c>
      <c r="I155" s="39">
        <v>299.99</v>
      </c>
      <c r="J155" s="38" t="s">
        <v>20</v>
      </c>
      <c r="K155" s="38" t="s">
        <v>35</v>
      </c>
      <c r="L155" s="38" t="s">
        <v>27</v>
      </c>
      <c r="M155" s="37">
        <v>44659</v>
      </c>
      <c r="N155" s="40">
        <v>899.97</v>
      </c>
      <c r="O155" s="38">
        <f t="shared" ca="1" si="10"/>
        <v>1840</v>
      </c>
      <c r="P155" s="44">
        <f t="shared" ca="1" si="11"/>
        <v>5</v>
      </c>
      <c r="Q155" s="45">
        <f t="shared" si="12"/>
        <v>45688</v>
      </c>
      <c r="R155" s="43">
        <f t="shared" ca="1" si="13"/>
        <v>46276.697382638886</v>
      </c>
      <c r="S155" s="44" t="str">
        <f t="shared" si="14"/>
        <v>MC</v>
      </c>
    </row>
    <row r="156" spans="1:19" ht="18.600000000000001" thickBot="1">
      <c r="A156" s="36" t="s">
        <v>297</v>
      </c>
      <c r="B156" s="37">
        <v>45627</v>
      </c>
      <c r="C156" s="38" t="s">
        <v>55</v>
      </c>
      <c r="D156" s="38" t="s">
        <v>56</v>
      </c>
      <c r="E156" s="38" t="s">
        <v>17</v>
      </c>
      <c r="F156" s="38" t="s">
        <v>18</v>
      </c>
      <c r="G156" s="38" t="s">
        <v>19</v>
      </c>
      <c r="H156" s="39">
        <v>5</v>
      </c>
      <c r="I156" s="39">
        <v>249.99</v>
      </c>
      <c r="J156" s="38" t="s">
        <v>20</v>
      </c>
      <c r="K156" s="38" t="s">
        <v>21</v>
      </c>
      <c r="L156" s="38" t="s">
        <v>27</v>
      </c>
      <c r="M156" s="37">
        <v>44485</v>
      </c>
      <c r="N156" s="40">
        <v>1249.95</v>
      </c>
      <c r="O156" s="38">
        <f t="shared" ca="1" si="10"/>
        <v>1816</v>
      </c>
      <c r="P156" s="44">
        <f t="shared" ca="1" si="11"/>
        <v>4</v>
      </c>
      <c r="Q156" s="45">
        <f t="shared" si="12"/>
        <v>45688</v>
      </c>
      <c r="R156" s="43">
        <f t="shared" ca="1" si="13"/>
        <v>46276.697382638886</v>
      </c>
      <c r="S156" s="44" t="str">
        <f t="shared" si="14"/>
        <v>BC</v>
      </c>
    </row>
    <row r="157" spans="1:19" ht="18.600000000000001" thickBot="1">
      <c r="A157" s="36" t="s">
        <v>298</v>
      </c>
      <c r="B157" s="37">
        <v>45627</v>
      </c>
      <c r="C157" s="38" t="s">
        <v>24</v>
      </c>
      <c r="D157" s="38" t="s">
        <v>25</v>
      </c>
      <c r="E157" s="38" t="s">
        <v>52</v>
      </c>
      <c r="F157" s="38" t="s">
        <v>53</v>
      </c>
      <c r="G157" s="38" t="s">
        <v>19</v>
      </c>
      <c r="H157" s="39">
        <v>2</v>
      </c>
      <c r="I157" s="39">
        <v>149.99</v>
      </c>
      <c r="J157" s="38" t="s">
        <v>20</v>
      </c>
      <c r="K157" s="38" t="s">
        <v>35</v>
      </c>
      <c r="L157" s="38" t="s">
        <v>27</v>
      </c>
      <c r="M157" s="37">
        <v>44475</v>
      </c>
      <c r="N157" s="40">
        <v>299.98</v>
      </c>
      <c r="O157" s="38">
        <f t="shared" ca="1" si="10"/>
        <v>1363</v>
      </c>
      <c r="P157" s="44">
        <f t="shared" ca="1" si="11"/>
        <v>3</v>
      </c>
      <c r="Q157" s="45">
        <f t="shared" si="12"/>
        <v>45688</v>
      </c>
      <c r="R157" s="43">
        <f t="shared" ca="1" si="13"/>
        <v>46276.697382638886</v>
      </c>
      <c r="S157" s="44" t="str">
        <f t="shared" si="14"/>
        <v>HR</v>
      </c>
    </row>
    <row r="158" spans="1:19" ht="18.600000000000001" thickBot="1">
      <c r="A158" s="36" t="s">
        <v>299</v>
      </c>
      <c r="B158" s="37">
        <v>45627</v>
      </c>
      <c r="C158" s="38" t="s">
        <v>86</v>
      </c>
      <c r="D158" s="38" t="s">
        <v>87</v>
      </c>
      <c r="E158" s="38" t="s">
        <v>80</v>
      </c>
      <c r="F158" s="38" t="s">
        <v>81</v>
      </c>
      <c r="G158" s="38" t="s">
        <v>19</v>
      </c>
      <c r="H158" s="39">
        <v>5</v>
      </c>
      <c r="I158" s="39">
        <v>699.99</v>
      </c>
      <c r="J158" s="38" t="s">
        <v>57</v>
      </c>
      <c r="K158" s="38" t="s">
        <v>50</v>
      </c>
      <c r="L158" s="38" t="s">
        <v>36</v>
      </c>
      <c r="M158" s="37">
        <v>44944</v>
      </c>
      <c r="N158" s="40">
        <v>3499.95</v>
      </c>
      <c r="O158" s="38">
        <f t="shared" ca="1" si="10"/>
        <v>1072</v>
      </c>
      <c r="P158" s="44">
        <f t="shared" ca="1" si="11"/>
        <v>2</v>
      </c>
      <c r="Q158" s="45">
        <f t="shared" si="12"/>
        <v>45688</v>
      </c>
      <c r="R158" s="43">
        <f t="shared" ca="1" si="13"/>
        <v>46276.697382638886</v>
      </c>
      <c r="S158" s="44" t="str">
        <f t="shared" si="14"/>
        <v>SP</v>
      </c>
    </row>
    <row r="159" spans="1:19" ht="18.600000000000001" thickBot="1">
      <c r="A159" s="36" t="s">
        <v>300</v>
      </c>
      <c r="B159" s="37">
        <v>45629</v>
      </c>
      <c r="C159" s="38" t="s">
        <v>252</v>
      </c>
      <c r="D159" s="38" t="s">
        <v>253</v>
      </c>
      <c r="E159" s="38" t="s">
        <v>17</v>
      </c>
      <c r="F159" s="38" t="s">
        <v>18</v>
      </c>
      <c r="G159" s="38" t="s">
        <v>19</v>
      </c>
      <c r="H159" s="39">
        <v>4</v>
      </c>
      <c r="I159" s="39">
        <v>249.99</v>
      </c>
      <c r="J159" s="38" t="s">
        <v>34</v>
      </c>
      <c r="K159" s="38" t="s">
        <v>63</v>
      </c>
      <c r="L159" s="38" t="s">
        <v>27</v>
      </c>
      <c r="M159" s="37">
        <v>45098</v>
      </c>
      <c r="N159" s="40">
        <v>999.96</v>
      </c>
      <c r="O159" s="38">
        <f t="shared" ca="1" si="10"/>
        <v>1732</v>
      </c>
      <c r="P159" s="44">
        <f t="shared" ca="1" si="11"/>
        <v>4</v>
      </c>
      <c r="Q159" s="45">
        <f t="shared" si="12"/>
        <v>45688</v>
      </c>
      <c r="R159" s="43">
        <f t="shared" ca="1" si="13"/>
        <v>46276.697382638886</v>
      </c>
      <c r="S159" s="44" t="str">
        <f t="shared" si="14"/>
        <v>LR</v>
      </c>
    </row>
    <row r="160" spans="1:19" ht="18.600000000000001" thickBot="1">
      <c r="A160" s="36" t="s">
        <v>301</v>
      </c>
      <c r="B160" s="37">
        <v>45630</v>
      </c>
      <c r="C160" s="38" t="s">
        <v>48</v>
      </c>
      <c r="D160" s="38" t="s">
        <v>49</v>
      </c>
      <c r="E160" s="38" t="s">
        <v>80</v>
      </c>
      <c r="F160" s="38" t="s">
        <v>81</v>
      </c>
      <c r="G160" s="38" t="s">
        <v>19</v>
      </c>
      <c r="H160" s="39">
        <v>4</v>
      </c>
      <c r="I160" s="39">
        <v>699.99</v>
      </c>
      <c r="J160" s="38" t="s">
        <v>26</v>
      </c>
      <c r="K160" s="38" t="s">
        <v>40</v>
      </c>
      <c r="L160" s="38" t="s">
        <v>27</v>
      </c>
      <c r="M160" s="37">
        <v>44703</v>
      </c>
      <c r="N160" s="40">
        <v>2799.96</v>
      </c>
      <c r="O160" s="38">
        <f t="shared" ca="1" si="10"/>
        <v>1845</v>
      </c>
      <c r="P160" s="44">
        <f t="shared" ca="1" si="11"/>
        <v>5</v>
      </c>
      <c r="Q160" s="45">
        <f t="shared" si="12"/>
        <v>45688</v>
      </c>
      <c r="R160" s="43">
        <f t="shared" ca="1" si="13"/>
        <v>46276.697382638886</v>
      </c>
      <c r="S160" s="44" t="str">
        <f t="shared" si="14"/>
        <v>EH</v>
      </c>
    </row>
    <row r="161" spans="1:19" ht="18.600000000000001" thickBot="1">
      <c r="A161" s="36" t="s">
        <v>302</v>
      </c>
      <c r="B161" s="37">
        <v>45635</v>
      </c>
      <c r="C161" s="38" t="s">
        <v>108</v>
      </c>
      <c r="D161" s="38" t="s">
        <v>109</v>
      </c>
      <c r="E161" s="38" t="s">
        <v>17</v>
      </c>
      <c r="F161" s="38" t="s">
        <v>18</v>
      </c>
      <c r="G161" s="38" t="s">
        <v>19</v>
      </c>
      <c r="H161" s="39">
        <v>2</v>
      </c>
      <c r="I161" s="39">
        <v>249.99</v>
      </c>
      <c r="J161" s="38" t="s">
        <v>26</v>
      </c>
      <c r="K161" s="38" t="s">
        <v>21</v>
      </c>
      <c r="L161" s="38" t="s">
        <v>27</v>
      </c>
      <c r="M161" s="37">
        <v>44396</v>
      </c>
      <c r="N161" s="40">
        <v>499.98</v>
      </c>
      <c r="O161" s="38">
        <f t="shared" ca="1" si="10"/>
        <v>1881</v>
      </c>
      <c r="P161" s="44">
        <f t="shared" ca="1" si="11"/>
        <v>5</v>
      </c>
      <c r="Q161" s="45">
        <f t="shared" si="12"/>
        <v>45688</v>
      </c>
      <c r="R161" s="43">
        <f t="shared" ca="1" si="13"/>
        <v>46276.697382638886</v>
      </c>
      <c r="S161" s="44" t="str">
        <f t="shared" si="14"/>
        <v>RT</v>
      </c>
    </row>
    <row r="162" spans="1:19" ht="18.600000000000001" thickBot="1">
      <c r="A162" s="36" t="s">
        <v>303</v>
      </c>
      <c r="B162" s="37">
        <v>45635</v>
      </c>
      <c r="C162" s="38" t="s">
        <v>304</v>
      </c>
      <c r="D162" s="38" t="s">
        <v>305</v>
      </c>
      <c r="E162" s="38" t="s">
        <v>31</v>
      </c>
      <c r="F162" s="38" t="s">
        <v>32</v>
      </c>
      <c r="G162" s="38" t="s">
        <v>33</v>
      </c>
      <c r="H162" s="39">
        <v>3</v>
      </c>
      <c r="I162" s="39">
        <v>59.99</v>
      </c>
      <c r="J162" s="38" t="s">
        <v>20</v>
      </c>
      <c r="K162" s="38" t="s">
        <v>21</v>
      </c>
      <c r="L162" s="38" t="s">
        <v>27</v>
      </c>
      <c r="M162" s="37">
        <v>45052</v>
      </c>
      <c r="N162" s="40">
        <v>179.97</v>
      </c>
      <c r="O162" s="38">
        <f t="shared" ca="1" si="10"/>
        <v>1634</v>
      </c>
      <c r="P162" s="44">
        <f t="shared" ca="1" si="11"/>
        <v>4</v>
      </c>
      <c r="Q162" s="45">
        <f t="shared" si="12"/>
        <v>45688</v>
      </c>
      <c r="R162" s="43">
        <f t="shared" ca="1" si="13"/>
        <v>46276.697382638886</v>
      </c>
      <c r="S162" s="44" t="str">
        <f t="shared" si="14"/>
        <v>LA</v>
      </c>
    </row>
    <row r="163" spans="1:19" ht="18.600000000000001" thickBot="1">
      <c r="A163" s="36" t="s">
        <v>306</v>
      </c>
      <c r="B163" s="37">
        <v>45635</v>
      </c>
      <c r="C163" s="38" t="s">
        <v>141</v>
      </c>
      <c r="D163" s="38" t="s">
        <v>142</v>
      </c>
      <c r="E163" s="38" t="s">
        <v>114</v>
      </c>
      <c r="F163" s="38" t="s">
        <v>115</v>
      </c>
      <c r="G163" s="38" t="s">
        <v>33</v>
      </c>
      <c r="H163" s="39">
        <v>4</v>
      </c>
      <c r="I163" s="39">
        <v>79.989999999999995</v>
      </c>
      <c r="J163" s="38" t="s">
        <v>57</v>
      </c>
      <c r="K163" s="38" t="s">
        <v>63</v>
      </c>
      <c r="L163" s="38" t="s">
        <v>36</v>
      </c>
      <c r="M163" s="37">
        <v>44921</v>
      </c>
      <c r="N163" s="40">
        <v>319.95999999999998</v>
      </c>
      <c r="O163" s="38">
        <f t="shared" ca="1" si="10"/>
        <v>1712</v>
      </c>
      <c r="P163" s="44">
        <f t="shared" ca="1" si="11"/>
        <v>4</v>
      </c>
      <c r="Q163" s="45">
        <f t="shared" si="12"/>
        <v>45688</v>
      </c>
      <c r="R163" s="43">
        <f t="shared" ca="1" si="13"/>
        <v>46276.697382638886</v>
      </c>
      <c r="S163" s="44" t="str">
        <f t="shared" si="14"/>
        <v>SG</v>
      </c>
    </row>
    <row r="164" spans="1:19" ht="18.600000000000001" thickBot="1">
      <c r="A164" s="36" t="s">
        <v>307</v>
      </c>
      <c r="B164" s="37">
        <v>45636</v>
      </c>
      <c r="C164" s="38" t="s">
        <v>120</v>
      </c>
      <c r="D164" s="38" t="s">
        <v>121</v>
      </c>
      <c r="E164" s="38" t="s">
        <v>114</v>
      </c>
      <c r="F164" s="38" t="s">
        <v>115</v>
      </c>
      <c r="G164" s="38" t="s">
        <v>33</v>
      </c>
      <c r="H164" s="39">
        <v>3</v>
      </c>
      <c r="I164" s="39">
        <v>79.989999999999995</v>
      </c>
      <c r="J164" s="38" t="s">
        <v>57</v>
      </c>
      <c r="K164" s="38" t="s">
        <v>63</v>
      </c>
      <c r="L164" s="38" t="s">
        <v>36</v>
      </c>
      <c r="M164" s="37">
        <v>44779</v>
      </c>
      <c r="N164" s="40">
        <v>239.97</v>
      </c>
      <c r="O164" s="38">
        <f t="shared" ca="1" si="10"/>
        <v>1059</v>
      </c>
      <c r="P164" s="44">
        <f t="shared" ca="1" si="11"/>
        <v>2</v>
      </c>
      <c r="Q164" s="45">
        <f t="shared" si="12"/>
        <v>45688</v>
      </c>
      <c r="R164" s="43">
        <f t="shared" ca="1" si="13"/>
        <v>46276.697382638886</v>
      </c>
      <c r="S164" s="44" t="str">
        <f t="shared" si="14"/>
        <v>DN</v>
      </c>
    </row>
    <row r="165" spans="1:19" ht="18.600000000000001" thickBot="1">
      <c r="A165" s="36" t="s">
        <v>308</v>
      </c>
      <c r="B165" s="37">
        <v>45638</v>
      </c>
      <c r="C165" s="38" t="s">
        <v>72</v>
      </c>
      <c r="D165" s="38" t="s">
        <v>73</v>
      </c>
      <c r="E165" s="38" t="s">
        <v>61</v>
      </c>
      <c r="F165" s="38" t="s">
        <v>62</v>
      </c>
      <c r="G165" s="38" t="s">
        <v>19</v>
      </c>
      <c r="H165" s="39">
        <v>2</v>
      </c>
      <c r="I165" s="39">
        <v>899.99</v>
      </c>
      <c r="J165" s="38" t="s">
        <v>20</v>
      </c>
      <c r="K165" s="38" t="s">
        <v>40</v>
      </c>
      <c r="L165" s="38" t="s">
        <v>22</v>
      </c>
      <c r="M165" s="37">
        <v>44406</v>
      </c>
      <c r="N165" s="40">
        <v>1799.98</v>
      </c>
      <c r="O165" s="38">
        <f t="shared" ca="1" si="10"/>
        <v>1542</v>
      </c>
      <c r="P165" s="44">
        <f t="shared" ca="1" si="11"/>
        <v>4</v>
      </c>
      <c r="Q165" s="45">
        <f t="shared" si="12"/>
        <v>45688</v>
      </c>
      <c r="R165" s="43">
        <f t="shared" ca="1" si="13"/>
        <v>46276.697382638886</v>
      </c>
      <c r="S165" s="44" t="str">
        <f t="shared" si="14"/>
        <v>WW</v>
      </c>
    </row>
    <row r="166" spans="1:19" ht="18.600000000000001" thickBot="1">
      <c r="A166" s="36" t="s">
        <v>309</v>
      </c>
      <c r="B166" s="37">
        <v>45641</v>
      </c>
      <c r="C166" s="38" t="s">
        <v>182</v>
      </c>
      <c r="D166" s="38" t="s">
        <v>183</v>
      </c>
      <c r="E166" s="38" t="s">
        <v>44</v>
      </c>
      <c r="F166" s="38" t="s">
        <v>45</v>
      </c>
      <c r="G166" s="38" t="s">
        <v>46</v>
      </c>
      <c r="H166" s="39">
        <v>1</v>
      </c>
      <c r="I166" s="39">
        <v>149.99</v>
      </c>
      <c r="J166" s="38" t="s">
        <v>57</v>
      </c>
      <c r="K166" s="38" t="s">
        <v>63</v>
      </c>
      <c r="L166" s="38" t="s">
        <v>36</v>
      </c>
      <c r="M166" s="37">
        <v>45200</v>
      </c>
      <c r="N166" s="40">
        <v>149.99</v>
      </c>
      <c r="O166" s="38">
        <f t="shared" ca="1" si="10"/>
        <v>1324</v>
      </c>
      <c r="P166" s="44">
        <f t="shared" ca="1" si="11"/>
        <v>3</v>
      </c>
      <c r="Q166" s="45">
        <f t="shared" si="12"/>
        <v>45688</v>
      </c>
      <c r="R166" s="43">
        <f t="shared" ca="1" si="13"/>
        <v>46276.697382638886</v>
      </c>
      <c r="S166" s="44" t="str">
        <f t="shared" si="14"/>
        <v>MC</v>
      </c>
    </row>
    <row r="167" spans="1:19" ht="18.600000000000001" thickBot="1">
      <c r="A167" s="36" t="s">
        <v>310</v>
      </c>
      <c r="B167" s="37">
        <v>45641</v>
      </c>
      <c r="C167" s="38" t="s">
        <v>138</v>
      </c>
      <c r="D167" s="38" t="s">
        <v>139</v>
      </c>
      <c r="E167" s="38" t="s">
        <v>105</v>
      </c>
      <c r="F167" s="38" t="s">
        <v>106</v>
      </c>
      <c r="G167" s="38" t="s">
        <v>46</v>
      </c>
      <c r="H167" s="39">
        <v>2</v>
      </c>
      <c r="I167" s="39">
        <v>299.99</v>
      </c>
      <c r="J167" s="38" t="s">
        <v>20</v>
      </c>
      <c r="K167" s="38" t="s">
        <v>63</v>
      </c>
      <c r="L167" s="38" t="s">
        <v>27</v>
      </c>
      <c r="M167" s="37">
        <v>44724</v>
      </c>
      <c r="N167" s="40">
        <v>599.98</v>
      </c>
      <c r="O167" s="38">
        <f t="shared" ca="1" si="10"/>
        <v>1595</v>
      </c>
      <c r="P167" s="44">
        <f t="shared" ca="1" si="11"/>
        <v>4</v>
      </c>
      <c r="Q167" s="45">
        <f t="shared" si="12"/>
        <v>45688</v>
      </c>
      <c r="R167" s="43">
        <f t="shared" ca="1" si="13"/>
        <v>46276.697382638886</v>
      </c>
      <c r="S167" s="44" t="str">
        <f t="shared" si="14"/>
        <v>DW</v>
      </c>
    </row>
    <row r="168" spans="1:19" ht="18.600000000000001" thickBot="1">
      <c r="A168" s="36" t="s">
        <v>311</v>
      </c>
      <c r="B168" s="37">
        <v>45644</v>
      </c>
      <c r="C168" s="38" t="s">
        <v>132</v>
      </c>
      <c r="D168" s="38" t="s">
        <v>133</v>
      </c>
      <c r="E168" s="38" t="s">
        <v>31</v>
      </c>
      <c r="F168" s="38" t="s">
        <v>32</v>
      </c>
      <c r="G168" s="38" t="s">
        <v>33</v>
      </c>
      <c r="H168" s="39">
        <v>2</v>
      </c>
      <c r="I168" s="39">
        <v>59.99</v>
      </c>
      <c r="J168" s="38" t="s">
        <v>20</v>
      </c>
      <c r="K168" s="38" t="s">
        <v>50</v>
      </c>
      <c r="L168" s="38" t="s">
        <v>22</v>
      </c>
      <c r="M168" s="37">
        <v>45191</v>
      </c>
      <c r="N168" s="40">
        <v>119.98</v>
      </c>
      <c r="O168" s="38">
        <f t="shared" ca="1" si="10"/>
        <v>1584</v>
      </c>
      <c r="P168" s="44">
        <f t="shared" ca="1" si="11"/>
        <v>4</v>
      </c>
      <c r="Q168" s="45">
        <f t="shared" si="12"/>
        <v>45688</v>
      </c>
      <c r="R168" s="43">
        <f t="shared" ca="1" si="13"/>
        <v>46276.697382638886</v>
      </c>
      <c r="S168" s="44" t="str">
        <f t="shared" si="14"/>
        <v>KH</v>
      </c>
    </row>
    <row r="169" spans="1:19" ht="18.600000000000001" thickBot="1">
      <c r="A169" s="36" t="s">
        <v>312</v>
      </c>
      <c r="B169" s="37">
        <v>45645</v>
      </c>
      <c r="C169" s="38" t="s">
        <v>182</v>
      </c>
      <c r="D169" s="38" t="s">
        <v>183</v>
      </c>
      <c r="E169" s="38" t="s">
        <v>117</v>
      </c>
      <c r="F169" s="38" t="s">
        <v>118</v>
      </c>
      <c r="G169" s="38" t="s">
        <v>19</v>
      </c>
      <c r="H169" s="39">
        <v>1</v>
      </c>
      <c r="I169" s="39">
        <v>89.99</v>
      </c>
      <c r="J169" s="38" t="s">
        <v>57</v>
      </c>
      <c r="K169" s="38" t="s">
        <v>21</v>
      </c>
      <c r="L169" s="38" t="s">
        <v>36</v>
      </c>
      <c r="M169" s="37">
        <v>44760</v>
      </c>
      <c r="N169" s="40">
        <v>89.99</v>
      </c>
      <c r="O169" s="38">
        <f t="shared" ca="1" si="10"/>
        <v>1499</v>
      </c>
      <c r="P169" s="44">
        <f t="shared" ca="1" si="11"/>
        <v>4</v>
      </c>
      <c r="Q169" s="45">
        <f t="shared" si="12"/>
        <v>45688</v>
      </c>
      <c r="R169" s="43">
        <f t="shared" ca="1" si="13"/>
        <v>46276.697382638886</v>
      </c>
      <c r="S169" s="44" t="str">
        <f t="shared" si="14"/>
        <v>EM</v>
      </c>
    </row>
    <row r="170" spans="1:19" ht="18.600000000000001" thickBot="1">
      <c r="A170" s="36" t="s">
        <v>313</v>
      </c>
      <c r="B170" s="37">
        <v>45645</v>
      </c>
      <c r="C170" s="38" t="s">
        <v>147</v>
      </c>
      <c r="D170" s="38" t="s">
        <v>148</v>
      </c>
      <c r="E170" s="38" t="s">
        <v>61</v>
      </c>
      <c r="F170" s="38" t="s">
        <v>62</v>
      </c>
      <c r="G170" s="38" t="s">
        <v>19</v>
      </c>
      <c r="H170" s="39">
        <v>5</v>
      </c>
      <c r="I170" s="39">
        <v>899.99</v>
      </c>
      <c r="J170" s="38" t="s">
        <v>57</v>
      </c>
      <c r="K170" s="38" t="s">
        <v>63</v>
      </c>
      <c r="L170" s="38" t="s">
        <v>36</v>
      </c>
      <c r="M170" s="37">
        <v>44625</v>
      </c>
      <c r="N170" s="40">
        <v>4499.95</v>
      </c>
      <c r="O170" s="38">
        <f t="shared" ca="1" si="10"/>
        <v>969</v>
      </c>
      <c r="P170" s="44">
        <f t="shared" ca="1" si="11"/>
        <v>2</v>
      </c>
      <c r="Q170" s="45">
        <f t="shared" si="12"/>
        <v>45688</v>
      </c>
      <c r="R170" s="43">
        <f t="shared" ca="1" si="13"/>
        <v>46276.697382638886</v>
      </c>
      <c r="S170" s="44" t="str">
        <f t="shared" si="14"/>
        <v>MB</v>
      </c>
    </row>
    <row r="171" spans="1:19" ht="18.600000000000001" thickBot="1">
      <c r="A171" s="36" t="s">
        <v>314</v>
      </c>
      <c r="B171" s="37">
        <v>45646</v>
      </c>
      <c r="C171" s="38" t="s">
        <v>42</v>
      </c>
      <c r="D171" s="38" t="s">
        <v>43</v>
      </c>
      <c r="E171" s="38" t="s">
        <v>44</v>
      </c>
      <c r="F171" s="38" t="s">
        <v>45</v>
      </c>
      <c r="G171" s="38" t="s">
        <v>46</v>
      </c>
      <c r="H171" s="39">
        <v>2</v>
      </c>
      <c r="I171" s="39">
        <v>149.99</v>
      </c>
      <c r="J171" s="38" t="s">
        <v>20</v>
      </c>
      <c r="K171" s="38" t="s">
        <v>35</v>
      </c>
      <c r="L171" s="38" t="s">
        <v>22</v>
      </c>
      <c r="M171" s="37">
        <v>45239</v>
      </c>
      <c r="N171" s="40">
        <v>299.98</v>
      </c>
      <c r="O171" s="38">
        <f t="shared" ca="1" si="10"/>
        <v>1231</v>
      </c>
      <c r="P171" s="44">
        <f t="shared" ca="1" si="11"/>
        <v>3</v>
      </c>
      <c r="Q171" s="45">
        <f t="shared" si="12"/>
        <v>45716</v>
      </c>
      <c r="R171" s="43">
        <f t="shared" ca="1" si="13"/>
        <v>46276.697382638886</v>
      </c>
      <c r="S171" s="44" t="str">
        <f t="shared" si="14"/>
        <v>AE</v>
      </c>
    </row>
    <row r="172" spans="1:19" ht="18.600000000000001" thickBot="1">
      <c r="A172" s="36" t="s">
        <v>315</v>
      </c>
      <c r="B172" s="37">
        <v>45648</v>
      </c>
      <c r="C172" s="38" t="s">
        <v>112</v>
      </c>
      <c r="D172" s="38" t="s">
        <v>113</v>
      </c>
      <c r="E172" s="38" t="s">
        <v>52</v>
      </c>
      <c r="F172" s="38" t="s">
        <v>53</v>
      </c>
      <c r="G172" s="38" t="s">
        <v>19</v>
      </c>
      <c r="H172" s="39">
        <v>2</v>
      </c>
      <c r="I172" s="39">
        <v>149.99</v>
      </c>
      <c r="J172" s="38" t="s">
        <v>57</v>
      </c>
      <c r="K172" s="38" t="s">
        <v>50</v>
      </c>
      <c r="L172" s="38" t="s">
        <v>27</v>
      </c>
      <c r="M172" s="37">
        <v>45280</v>
      </c>
      <c r="N172" s="40">
        <v>299.98</v>
      </c>
      <c r="O172" s="38">
        <f t="shared" ca="1" si="10"/>
        <v>1712</v>
      </c>
      <c r="P172" s="44">
        <f t="shared" ca="1" si="11"/>
        <v>4</v>
      </c>
      <c r="Q172" s="45">
        <f t="shared" si="12"/>
        <v>45716</v>
      </c>
      <c r="R172" s="43">
        <f t="shared" ca="1" si="13"/>
        <v>46276.697382638886</v>
      </c>
      <c r="S172" s="44" t="str">
        <f t="shared" si="14"/>
        <v>RB</v>
      </c>
    </row>
    <row r="173" spans="1:19" ht="18.600000000000001" thickBot="1">
      <c r="A173" s="36" t="s">
        <v>316</v>
      </c>
      <c r="B173" s="37">
        <v>45648</v>
      </c>
      <c r="C173" s="38" t="s">
        <v>182</v>
      </c>
      <c r="D173" s="38" t="s">
        <v>183</v>
      </c>
      <c r="E173" s="38" t="s">
        <v>44</v>
      </c>
      <c r="F173" s="38" t="s">
        <v>45</v>
      </c>
      <c r="G173" s="38" t="s">
        <v>46</v>
      </c>
      <c r="H173" s="39">
        <v>3</v>
      </c>
      <c r="I173" s="39">
        <v>149.99</v>
      </c>
      <c r="J173" s="38" t="s">
        <v>57</v>
      </c>
      <c r="K173" s="38" t="s">
        <v>40</v>
      </c>
      <c r="L173" s="38" t="s">
        <v>36</v>
      </c>
      <c r="M173" s="37">
        <v>44522</v>
      </c>
      <c r="N173" s="40">
        <v>449.97</v>
      </c>
      <c r="O173" s="38">
        <f t="shared" ca="1" si="10"/>
        <v>1317</v>
      </c>
      <c r="P173" s="44">
        <f t="shared" ca="1" si="11"/>
        <v>3</v>
      </c>
      <c r="Q173" s="45">
        <f t="shared" si="12"/>
        <v>45716</v>
      </c>
      <c r="R173" s="43">
        <f t="shared" ca="1" si="13"/>
        <v>46276.697382638886</v>
      </c>
      <c r="S173" s="44" t="str">
        <f t="shared" si="14"/>
        <v>VS</v>
      </c>
    </row>
    <row r="174" spans="1:19" ht="18.600000000000001" thickBot="1">
      <c r="A174" s="36" t="s">
        <v>317</v>
      </c>
      <c r="B174" s="37">
        <v>45649</v>
      </c>
      <c r="C174" s="38" t="s">
        <v>29</v>
      </c>
      <c r="D174" s="38" t="s">
        <v>30</v>
      </c>
      <c r="E174" s="38" t="s">
        <v>105</v>
      </c>
      <c r="F174" s="38" t="s">
        <v>106</v>
      </c>
      <c r="G174" s="38" t="s">
        <v>46</v>
      </c>
      <c r="H174" s="39">
        <v>2</v>
      </c>
      <c r="I174" s="39">
        <v>299.99</v>
      </c>
      <c r="J174" s="38" t="s">
        <v>34</v>
      </c>
      <c r="K174" s="38" t="s">
        <v>35</v>
      </c>
      <c r="L174" s="38" t="s">
        <v>22</v>
      </c>
      <c r="M174" s="37">
        <v>44721</v>
      </c>
      <c r="N174" s="40">
        <v>599.98</v>
      </c>
      <c r="O174" s="38">
        <f t="shared" ca="1" si="10"/>
        <v>1099</v>
      </c>
      <c r="P174" s="44">
        <f t="shared" ca="1" si="11"/>
        <v>3</v>
      </c>
      <c r="Q174" s="45">
        <f t="shared" si="12"/>
        <v>45716</v>
      </c>
      <c r="R174" s="43">
        <f t="shared" ca="1" si="13"/>
        <v>46276.697382638886</v>
      </c>
      <c r="S174" s="44" t="str">
        <f t="shared" si="14"/>
        <v>SB</v>
      </c>
    </row>
    <row r="175" spans="1:19" ht="18.600000000000001" thickBot="1">
      <c r="A175" s="36" t="s">
        <v>318</v>
      </c>
      <c r="B175" s="37">
        <v>45654</v>
      </c>
      <c r="C175" s="38" t="s">
        <v>42</v>
      </c>
      <c r="D175" s="38" t="s">
        <v>43</v>
      </c>
      <c r="E175" s="38" t="s">
        <v>105</v>
      </c>
      <c r="F175" s="38" t="s">
        <v>106</v>
      </c>
      <c r="G175" s="38" t="s">
        <v>46</v>
      </c>
      <c r="H175" s="39">
        <v>2</v>
      </c>
      <c r="I175" s="39">
        <v>299.99</v>
      </c>
      <c r="J175" s="38" t="s">
        <v>20</v>
      </c>
      <c r="K175" s="38" t="s">
        <v>50</v>
      </c>
      <c r="L175" s="38" t="s">
        <v>22</v>
      </c>
      <c r="M175" s="37">
        <v>44771</v>
      </c>
      <c r="N175" s="40">
        <v>599.98</v>
      </c>
      <c r="O175" s="38">
        <f t="shared" ca="1" si="10"/>
        <v>1840</v>
      </c>
      <c r="P175" s="44">
        <f t="shared" ca="1" si="11"/>
        <v>5</v>
      </c>
      <c r="Q175" s="45">
        <f t="shared" si="12"/>
        <v>45716</v>
      </c>
      <c r="R175" s="43">
        <f t="shared" ca="1" si="13"/>
        <v>46276.697382638886</v>
      </c>
      <c r="S175" s="44" t="str">
        <f t="shared" si="14"/>
        <v>NC</v>
      </c>
    </row>
    <row r="176" spans="1:19" ht="18.600000000000001" thickBot="1">
      <c r="A176" s="36" t="s">
        <v>319</v>
      </c>
      <c r="B176" s="37">
        <v>45654</v>
      </c>
      <c r="C176" s="38" t="s">
        <v>120</v>
      </c>
      <c r="D176" s="38" t="s">
        <v>121</v>
      </c>
      <c r="E176" s="38" t="s">
        <v>126</v>
      </c>
      <c r="F176" s="38" t="s">
        <v>127</v>
      </c>
      <c r="G176" s="38" t="s">
        <v>46</v>
      </c>
      <c r="H176" s="39">
        <v>4</v>
      </c>
      <c r="I176" s="39">
        <v>199.99</v>
      </c>
      <c r="J176" s="38" t="s">
        <v>26</v>
      </c>
      <c r="K176" s="38" t="s">
        <v>21</v>
      </c>
      <c r="L176" s="38" t="s">
        <v>22</v>
      </c>
      <c r="M176" s="37">
        <v>44523</v>
      </c>
      <c r="N176" s="40">
        <v>799.96</v>
      </c>
      <c r="O176" s="38">
        <f t="shared" ca="1" si="10"/>
        <v>1541</v>
      </c>
      <c r="P176" s="44">
        <f t="shared" ca="1" si="11"/>
        <v>4</v>
      </c>
      <c r="Q176" s="45">
        <f t="shared" si="12"/>
        <v>45716</v>
      </c>
      <c r="R176" s="43">
        <f t="shared" ca="1" si="13"/>
        <v>46276.697382638886</v>
      </c>
      <c r="S176" s="44" t="str">
        <f t="shared" si="14"/>
        <v>KS</v>
      </c>
    </row>
    <row r="177" spans="1:19" ht="18.600000000000001" thickBot="1">
      <c r="A177" s="36" t="s">
        <v>320</v>
      </c>
      <c r="B177" s="37">
        <v>45655</v>
      </c>
      <c r="C177" s="38" t="s">
        <v>59</v>
      </c>
      <c r="D177" s="38" t="s">
        <v>60</v>
      </c>
      <c r="E177" s="38" t="s">
        <v>117</v>
      </c>
      <c r="F177" s="38" t="s">
        <v>118</v>
      </c>
      <c r="G177" s="38" t="s">
        <v>19</v>
      </c>
      <c r="H177" s="39">
        <v>1</v>
      </c>
      <c r="I177" s="39">
        <v>89.99</v>
      </c>
      <c r="J177" s="38" t="s">
        <v>26</v>
      </c>
      <c r="K177" s="38" t="s">
        <v>35</v>
      </c>
      <c r="L177" s="38" t="s">
        <v>27</v>
      </c>
      <c r="M177" s="37">
        <v>44591</v>
      </c>
      <c r="N177" s="40">
        <v>89.99</v>
      </c>
      <c r="O177" s="38">
        <f t="shared" ca="1" si="10"/>
        <v>1019</v>
      </c>
      <c r="P177" s="44">
        <f t="shared" ca="1" si="11"/>
        <v>2</v>
      </c>
      <c r="Q177" s="45">
        <f t="shared" si="12"/>
        <v>45716</v>
      </c>
      <c r="R177" s="43">
        <f t="shared" ca="1" si="13"/>
        <v>46276.697382638886</v>
      </c>
      <c r="S177" s="44" t="str">
        <f t="shared" si="14"/>
        <v>PB</v>
      </c>
    </row>
    <row r="178" spans="1:19" ht="18.600000000000001" thickBot="1">
      <c r="A178" s="36" t="s">
        <v>321</v>
      </c>
      <c r="B178" s="37">
        <v>45655</v>
      </c>
      <c r="C178" s="38" t="s">
        <v>108</v>
      </c>
      <c r="D178" s="38" t="s">
        <v>109</v>
      </c>
      <c r="E178" s="38" t="s">
        <v>44</v>
      </c>
      <c r="F178" s="38" t="s">
        <v>45</v>
      </c>
      <c r="G178" s="38" t="s">
        <v>46</v>
      </c>
      <c r="H178" s="39">
        <v>5</v>
      </c>
      <c r="I178" s="39">
        <v>149.99</v>
      </c>
      <c r="J178" s="38" t="s">
        <v>20</v>
      </c>
      <c r="K178" s="38" t="s">
        <v>21</v>
      </c>
      <c r="L178" s="38" t="s">
        <v>27</v>
      </c>
      <c r="M178" s="37">
        <v>45347</v>
      </c>
      <c r="N178" s="40">
        <v>749.95</v>
      </c>
      <c r="O178" s="38">
        <f t="shared" ca="1" si="10"/>
        <v>1548</v>
      </c>
      <c r="P178" s="44">
        <f t="shared" ca="1" si="11"/>
        <v>4</v>
      </c>
      <c r="Q178" s="45">
        <f t="shared" si="12"/>
        <v>45716</v>
      </c>
      <c r="R178" s="43">
        <f t="shared" ca="1" si="13"/>
        <v>46276.697382638886</v>
      </c>
      <c r="S178" s="44" t="str">
        <f t="shared" si="14"/>
        <v>RL</v>
      </c>
    </row>
    <row r="179" spans="1:19" ht="18.600000000000001" thickBot="1">
      <c r="A179" s="36" t="s">
        <v>322</v>
      </c>
      <c r="B179" s="37">
        <v>45657</v>
      </c>
      <c r="C179" s="38" t="s">
        <v>86</v>
      </c>
      <c r="D179" s="38" t="s">
        <v>87</v>
      </c>
      <c r="E179" s="38" t="s">
        <v>61</v>
      </c>
      <c r="F179" s="38" t="s">
        <v>62</v>
      </c>
      <c r="G179" s="38" t="s">
        <v>19</v>
      </c>
      <c r="H179" s="39">
        <v>1</v>
      </c>
      <c r="I179" s="39">
        <v>899.99</v>
      </c>
      <c r="J179" s="38" t="s">
        <v>34</v>
      </c>
      <c r="K179" s="38" t="s">
        <v>40</v>
      </c>
      <c r="L179" s="38" t="s">
        <v>27</v>
      </c>
      <c r="M179" s="37">
        <v>45050</v>
      </c>
      <c r="N179" s="40">
        <v>899.99</v>
      </c>
      <c r="O179" s="38">
        <f t="shared" ca="1" si="10"/>
        <v>924</v>
      </c>
      <c r="P179" s="44">
        <f t="shared" ca="1" si="11"/>
        <v>2</v>
      </c>
      <c r="Q179" s="45">
        <f t="shared" si="12"/>
        <v>45716</v>
      </c>
      <c r="R179" s="43">
        <f t="shared" ca="1" si="13"/>
        <v>46276.697382638886</v>
      </c>
      <c r="S179" s="44" t="str">
        <f t="shared" si="14"/>
        <v>EM</v>
      </c>
    </row>
    <row r="180" spans="1:19" ht="18.600000000000001" thickBot="1">
      <c r="A180" s="36" t="s">
        <v>323</v>
      </c>
      <c r="B180" s="37">
        <v>45660</v>
      </c>
      <c r="C180" s="38" t="s">
        <v>147</v>
      </c>
      <c r="D180" s="38" t="s">
        <v>148</v>
      </c>
      <c r="E180" s="38" t="s">
        <v>117</v>
      </c>
      <c r="F180" s="38" t="s">
        <v>118</v>
      </c>
      <c r="G180" s="38" t="s">
        <v>19</v>
      </c>
      <c r="H180" s="39">
        <v>2</v>
      </c>
      <c r="I180" s="39">
        <v>89.99</v>
      </c>
      <c r="J180" s="38" t="s">
        <v>26</v>
      </c>
      <c r="K180" s="38" t="s">
        <v>35</v>
      </c>
      <c r="L180" s="38" t="s">
        <v>27</v>
      </c>
      <c r="M180" s="37">
        <v>44564</v>
      </c>
      <c r="N180" s="40">
        <v>179.98</v>
      </c>
      <c r="O180" s="38">
        <f t="shared" ca="1" si="10"/>
        <v>1643</v>
      </c>
      <c r="P180" s="44">
        <f t="shared" ca="1" si="11"/>
        <v>4</v>
      </c>
      <c r="Q180" s="45">
        <f t="shared" si="12"/>
        <v>45716</v>
      </c>
      <c r="R180" s="43">
        <f t="shared" ca="1" si="13"/>
        <v>46276.697382638886</v>
      </c>
      <c r="S180" s="44" t="str">
        <f t="shared" si="14"/>
        <v>MB</v>
      </c>
    </row>
    <row r="181" spans="1:19" ht="18.600000000000001" thickBot="1">
      <c r="A181" s="36" t="s">
        <v>324</v>
      </c>
      <c r="B181" s="37">
        <v>45661</v>
      </c>
      <c r="C181" s="38" t="s">
        <v>325</v>
      </c>
      <c r="D181" s="38" t="s">
        <v>326</v>
      </c>
      <c r="E181" s="38" t="s">
        <v>61</v>
      </c>
      <c r="F181" s="38" t="s">
        <v>62</v>
      </c>
      <c r="G181" s="38" t="s">
        <v>19</v>
      </c>
      <c r="H181" s="39">
        <v>1</v>
      </c>
      <c r="I181" s="39">
        <v>899.99</v>
      </c>
      <c r="J181" s="38" t="s">
        <v>34</v>
      </c>
      <c r="K181" s="38" t="s">
        <v>40</v>
      </c>
      <c r="L181" s="38" t="s">
        <v>36</v>
      </c>
      <c r="M181" s="37">
        <v>44752</v>
      </c>
      <c r="N181" s="40">
        <v>899.99</v>
      </c>
      <c r="O181" s="38">
        <f t="shared" ca="1" si="10"/>
        <v>1663</v>
      </c>
      <c r="P181" s="44">
        <f t="shared" ca="1" si="11"/>
        <v>4</v>
      </c>
      <c r="Q181" s="45">
        <f t="shared" si="12"/>
        <v>45716</v>
      </c>
      <c r="R181" s="43">
        <f t="shared" ca="1" si="13"/>
        <v>46276.697382638886</v>
      </c>
      <c r="S181" s="44" t="str">
        <f t="shared" si="14"/>
        <v>BY</v>
      </c>
    </row>
    <row r="182" spans="1:19" ht="18.600000000000001" thickBot="1">
      <c r="A182" s="36" t="s">
        <v>327</v>
      </c>
      <c r="B182" s="37">
        <v>45663</v>
      </c>
      <c r="C182" s="38" t="s">
        <v>129</v>
      </c>
      <c r="D182" s="38" t="s">
        <v>130</v>
      </c>
      <c r="E182" s="38" t="s">
        <v>52</v>
      </c>
      <c r="F182" s="38" t="s">
        <v>53</v>
      </c>
      <c r="G182" s="38" t="s">
        <v>19</v>
      </c>
      <c r="H182" s="39">
        <v>5</v>
      </c>
      <c r="I182" s="39">
        <v>149.99</v>
      </c>
      <c r="J182" s="38" t="s">
        <v>34</v>
      </c>
      <c r="K182" s="38" t="s">
        <v>63</v>
      </c>
      <c r="L182" s="38" t="s">
        <v>27</v>
      </c>
      <c r="M182" s="37">
        <v>44824</v>
      </c>
      <c r="N182" s="40">
        <v>749.95</v>
      </c>
      <c r="O182" s="38">
        <f t="shared" ca="1" si="10"/>
        <v>1453</v>
      </c>
      <c r="P182" s="44">
        <f t="shared" ca="1" si="11"/>
        <v>3</v>
      </c>
      <c r="Q182" s="45">
        <f t="shared" si="12"/>
        <v>45716</v>
      </c>
      <c r="R182" s="43">
        <f t="shared" ca="1" si="13"/>
        <v>46276.697382638886</v>
      </c>
      <c r="S182" s="44" t="str">
        <f t="shared" si="14"/>
        <v>FT</v>
      </c>
    </row>
    <row r="183" spans="1:19" ht="18.600000000000001" thickBot="1">
      <c r="A183" s="36" t="s">
        <v>328</v>
      </c>
      <c r="B183" s="37">
        <v>45663</v>
      </c>
      <c r="C183" s="38" t="s">
        <v>42</v>
      </c>
      <c r="D183" s="38" t="s">
        <v>43</v>
      </c>
      <c r="E183" s="38" t="s">
        <v>105</v>
      </c>
      <c r="F183" s="38" t="s">
        <v>106</v>
      </c>
      <c r="G183" s="38" t="s">
        <v>46</v>
      </c>
      <c r="H183" s="39">
        <v>3</v>
      </c>
      <c r="I183" s="39">
        <v>299.99</v>
      </c>
      <c r="J183" s="38" t="s">
        <v>20</v>
      </c>
      <c r="K183" s="38" t="s">
        <v>35</v>
      </c>
      <c r="L183" s="38" t="s">
        <v>36</v>
      </c>
      <c r="M183" s="37">
        <v>44422</v>
      </c>
      <c r="N183" s="40">
        <v>899.97</v>
      </c>
      <c r="O183" s="38">
        <f t="shared" ca="1" si="10"/>
        <v>1134</v>
      </c>
      <c r="P183" s="44">
        <f t="shared" ca="1" si="11"/>
        <v>3</v>
      </c>
      <c r="Q183" s="45">
        <f t="shared" si="12"/>
        <v>45716</v>
      </c>
      <c r="R183" s="43">
        <f t="shared" ca="1" si="13"/>
        <v>46276.697382638886</v>
      </c>
      <c r="S183" s="44" t="str">
        <f t="shared" si="14"/>
        <v>CA</v>
      </c>
    </row>
    <row r="184" spans="1:19" ht="18.600000000000001" thickBot="1">
      <c r="A184" s="36" t="s">
        <v>329</v>
      </c>
      <c r="B184" s="37">
        <v>45666</v>
      </c>
      <c r="C184" s="38" t="s">
        <v>65</v>
      </c>
      <c r="D184" s="38" t="s">
        <v>66</v>
      </c>
      <c r="E184" s="38" t="s">
        <v>80</v>
      </c>
      <c r="F184" s="38" t="s">
        <v>81</v>
      </c>
      <c r="G184" s="38" t="s">
        <v>19</v>
      </c>
      <c r="H184" s="39">
        <v>3</v>
      </c>
      <c r="I184" s="39">
        <v>699.99</v>
      </c>
      <c r="J184" s="38" t="s">
        <v>26</v>
      </c>
      <c r="K184" s="38" t="s">
        <v>21</v>
      </c>
      <c r="L184" s="38" t="s">
        <v>27</v>
      </c>
      <c r="M184" s="37">
        <v>45105</v>
      </c>
      <c r="N184" s="40">
        <v>2099.9699999999998</v>
      </c>
      <c r="O184" s="38">
        <f t="shared" ca="1" si="10"/>
        <v>1342</v>
      </c>
      <c r="P184" s="44">
        <f t="shared" ca="1" si="11"/>
        <v>3</v>
      </c>
      <c r="Q184" s="45">
        <f t="shared" si="12"/>
        <v>45716</v>
      </c>
      <c r="R184" s="43">
        <f t="shared" ca="1" si="13"/>
        <v>46276.697382638886</v>
      </c>
      <c r="S184" s="44" t="str">
        <f t="shared" si="14"/>
        <v>SB</v>
      </c>
    </row>
    <row r="185" spans="1:19" ht="18.600000000000001" thickBot="1">
      <c r="A185" s="36" t="s">
        <v>330</v>
      </c>
      <c r="B185" s="37">
        <v>45667</v>
      </c>
      <c r="C185" s="38" t="s">
        <v>108</v>
      </c>
      <c r="D185" s="38" t="s">
        <v>109</v>
      </c>
      <c r="E185" s="38" t="s">
        <v>126</v>
      </c>
      <c r="F185" s="38" t="s">
        <v>127</v>
      </c>
      <c r="G185" s="38" t="s">
        <v>46</v>
      </c>
      <c r="H185" s="39">
        <v>5</v>
      </c>
      <c r="I185" s="39">
        <v>199.99</v>
      </c>
      <c r="J185" s="38" t="s">
        <v>34</v>
      </c>
      <c r="K185" s="38" t="s">
        <v>21</v>
      </c>
      <c r="L185" s="38" t="s">
        <v>36</v>
      </c>
      <c r="M185" s="37">
        <v>44633</v>
      </c>
      <c r="N185" s="40">
        <v>999.95</v>
      </c>
      <c r="O185" s="38">
        <f t="shared" ca="1" si="10"/>
        <v>1693</v>
      </c>
      <c r="P185" s="44">
        <f t="shared" ca="1" si="11"/>
        <v>4</v>
      </c>
      <c r="Q185" s="45">
        <f t="shared" si="12"/>
        <v>45716</v>
      </c>
      <c r="R185" s="43">
        <f t="shared" ca="1" si="13"/>
        <v>46276.697382638886</v>
      </c>
      <c r="S185" s="44" t="str">
        <f t="shared" si="14"/>
        <v>RB</v>
      </c>
    </row>
    <row r="186" spans="1:19" ht="18.600000000000001" thickBot="1">
      <c r="A186" s="36" t="s">
        <v>331</v>
      </c>
      <c r="B186" s="37">
        <v>45667</v>
      </c>
      <c r="C186" s="38" t="s">
        <v>93</v>
      </c>
      <c r="D186" s="38" t="s">
        <v>94</v>
      </c>
      <c r="E186" s="38" t="s">
        <v>17</v>
      </c>
      <c r="F186" s="38" t="s">
        <v>18</v>
      </c>
      <c r="G186" s="38" t="s">
        <v>19</v>
      </c>
      <c r="H186" s="39">
        <v>5</v>
      </c>
      <c r="I186" s="39">
        <v>249.99</v>
      </c>
      <c r="J186" s="38" t="s">
        <v>26</v>
      </c>
      <c r="K186" s="38" t="s">
        <v>35</v>
      </c>
      <c r="L186" s="38" t="s">
        <v>22</v>
      </c>
      <c r="M186" s="37">
        <v>45330</v>
      </c>
      <c r="N186" s="40">
        <v>1249.95</v>
      </c>
      <c r="O186" s="38">
        <f t="shared" ca="1" si="10"/>
        <v>1864</v>
      </c>
      <c r="P186" s="44">
        <f t="shared" ca="1" si="11"/>
        <v>5</v>
      </c>
      <c r="Q186" s="45">
        <f t="shared" si="12"/>
        <v>45716</v>
      </c>
      <c r="R186" s="43">
        <f t="shared" ca="1" si="13"/>
        <v>46276.697382638886</v>
      </c>
      <c r="S186" s="44" t="str">
        <f t="shared" si="14"/>
        <v>AE</v>
      </c>
    </row>
    <row r="187" spans="1:19" ht="18.600000000000001" thickBot="1">
      <c r="A187" s="36" t="s">
        <v>332</v>
      </c>
      <c r="B187" s="37">
        <v>45668</v>
      </c>
      <c r="C187" s="38" t="s">
        <v>138</v>
      </c>
      <c r="D187" s="38" t="s">
        <v>139</v>
      </c>
      <c r="E187" s="38" t="s">
        <v>52</v>
      </c>
      <c r="F187" s="38" t="s">
        <v>53</v>
      </c>
      <c r="G187" s="38" t="s">
        <v>19</v>
      </c>
      <c r="H187" s="39">
        <v>4</v>
      </c>
      <c r="I187" s="39">
        <v>149.99</v>
      </c>
      <c r="J187" s="38" t="s">
        <v>57</v>
      </c>
      <c r="K187" s="38" t="s">
        <v>63</v>
      </c>
      <c r="L187" s="38" t="s">
        <v>36</v>
      </c>
      <c r="M187" s="37">
        <v>44536</v>
      </c>
      <c r="N187" s="40">
        <v>599.96</v>
      </c>
      <c r="O187" s="38">
        <f t="shared" ca="1" si="10"/>
        <v>1136</v>
      </c>
      <c r="P187" s="44">
        <f t="shared" ca="1" si="11"/>
        <v>3</v>
      </c>
      <c r="Q187" s="45">
        <f t="shared" si="12"/>
        <v>45716</v>
      </c>
      <c r="R187" s="43">
        <f t="shared" ca="1" si="13"/>
        <v>46276.697382638886</v>
      </c>
      <c r="S187" s="44" t="str">
        <f t="shared" si="14"/>
        <v>EH</v>
      </c>
    </row>
    <row r="188" spans="1:19" ht="18.600000000000001" thickBot="1">
      <c r="A188" s="36" t="s">
        <v>333</v>
      </c>
      <c r="B188" s="37">
        <v>45668</v>
      </c>
      <c r="C188" s="38" t="s">
        <v>78</v>
      </c>
      <c r="D188" s="38" t="s">
        <v>79</v>
      </c>
      <c r="E188" s="38" t="s">
        <v>80</v>
      </c>
      <c r="F188" s="38" t="s">
        <v>81</v>
      </c>
      <c r="G188" s="38" t="s">
        <v>19</v>
      </c>
      <c r="H188" s="39">
        <v>3</v>
      </c>
      <c r="I188" s="39">
        <v>699.99</v>
      </c>
      <c r="J188" s="38" t="s">
        <v>20</v>
      </c>
      <c r="K188" s="38" t="s">
        <v>40</v>
      </c>
      <c r="L188" s="38" t="s">
        <v>27</v>
      </c>
      <c r="M188" s="37">
        <v>44602</v>
      </c>
      <c r="N188" s="40">
        <v>2099.9699999999998</v>
      </c>
      <c r="O188" s="38">
        <f t="shared" ca="1" si="10"/>
        <v>1703</v>
      </c>
      <c r="P188" s="44">
        <f t="shared" ca="1" si="11"/>
        <v>4</v>
      </c>
      <c r="Q188" s="45">
        <f t="shared" si="12"/>
        <v>45716</v>
      </c>
      <c r="R188" s="43">
        <f t="shared" ca="1" si="13"/>
        <v>46276.697382638886</v>
      </c>
      <c r="S188" s="44" t="str">
        <f t="shared" si="14"/>
        <v>ST</v>
      </c>
    </row>
    <row r="189" spans="1:19" ht="18.600000000000001" thickBot="1">
      <c r="A189" s="36" t="s">
        <v>334</v>
      </c>
      <c r="B189" s="37">
        <v>45670</v>
      </c>
      <c r="C189" s="38" t="s">
        <v>293</v>
      </c>
      <c r="D189" s="38" t="s">
        <v>294</v>
      </c>
      <c r="E189" s="38" t="s">
        <v>114</v>
      </c>
      <c r="F189" s="38" t="s">
        <v>115</v>
      </c>
      <c r="G189" s="38" t="s">
        <v>33</v>
      </c>
      <c r="H189" s="39">
        <v>1</v>
      </c>
      <c r="I189" s="39">
        <v>79.989999999999995</v>
      </c>
      <c r="J189" s="38" t="s">
        <v>26</v>
      </c>
      <c r="K189" s="38" t="s">
        <v>35</v>
      </c>
      <c r="L189" s="38" t="s">
        <v>22</v>
      </c>
      <c r="M189" s="37">
        <v>45322</v>
      </c>
      <c r="N189" s="40">
        <v>79.989999999999995</v>
      </c>
      <c r="O189" s="38">
        <f t="shared" ca="1" si="10"/>
        <v>1206</v>
      </c>
      <c r="P189" s="44">
        <f t="shared" ca="1" si="11"/>
        <v>3</v>
      </c>
      <c r="Q189" s="45">
        <f t="shared" si="12"/>
        <v>45716</v>
      </c>
      <c r="R189" s="43">
        <f t="shared" ca="1" si="13"/>
        <v>46276.697382638886</v>
      </c>
      <c r="S189" s="44" t="str">
        <f t="shared" si="14"/>
        <v>RL</v>
      </c>
    </row>
    <row r="190" spans="1:19" ht="18.600000000000001" thickBot="1">
      <c r="A190" s="36" t="s">
        <v>335</v>
      </c>
      <c r="B190" s="37">
        <v>45670</v>
      </c>
      <c r="C190" s="38" t="s">
        <v>86</v>
      </c>
      <c r="D190" s="38" t="s">
        <v>87</v>
      </c>
      <c r="E190" s="38" t="s">
        <v>105</v>
      </c>
      <c r="F190" s="38" t="s">
        <v>106</v>
      </c>
      <c r="G190" s="38" t="s">
        <v>46</v>
      </c>
      <c r="H190" s="39">
        <v>1</v>
      </c>
      <c r="I190" s="39">
        <v>299.99</v>
      </c>
      <c r="J190" s="38" t="s">
        <v>26</v>
      </c>
      <c r="K190" s="38" t="s">
        <v>40</v>
      </c>
      <c r="L190" s="38" t="s">
        <v>22</v>
      </c>
      <c r="M190" s="37">
        <v>44436</v>
      </c>
      <c r="N190" s="40">
        <v>299.99</v>
      </c>
      <c r="O190" s="38">
        <f t="shared" ca="1" si="10"/>
        <v>1700</v>
      </c>
      <c r="P190" s="44">
        <f t="shared" ca="1" si="11"/>
        <v>4</v>
      </c>
      <c r="Q190" s="45">
        <f t="shared" si="12"/>
        <v>45716</v>
      </c>
      <c r="R190" s="43">
        <f t="shared" ca="1" si="13"/>
        <v>46276.697382638886</v>
      </c>
      <c r="S190" s="44" t="str">
        <f t="shared" si="14"/>
        <v>VS</v>
      </c>
    </row>
    <row r="191" spans="1:19" ht="18.600000000000001" thickBot="1">
      <c r="A191" s="36" t="s">
        <v>336</v>
      </c>
      <c r="B191" s="37">
        <v>45671</v>
      </c>
      <c r="C191" s="38" t="s">
        <v>158</v>
      </c>
      <c r="D191" s="38" t="s">
        <v>159</v>
      </c>
      <c r="E191" s="38" t="s">
        <v>17</v>
      </c>
      <c r="F191" s="38" t="s">
        <v>18</v>
      </c>
      <c r="G191" s="38" t="s">
        <v>19</v>
      </c>
      <c r="H191" s="39">
        <v>4</v>
      </c>
      <c r="I191" s="39">
        <v>249.99</v>
      </c>
      <c r="J191" s="38" t="s">
        <v>26</v>
      </c>
      <c r="K191" s="38" t="s">
        <v>40</v>
      </c>
      <c r="L191" s="38" t="s">
        <v>27</v>
      </c>
      <c r="M191" s="37">
        <v>44460</v>
      </c>
      <c r="N191" s="40">
        <v>999.96</v>
      </c>
      <c r="O191" s="38">
        <f t="shared" ca="1" si="10"/>
        <v>1208</v>
      </c>
      <c r="P191" s="44">
        <f t="shared" ca="1" si="11"/>
        <v>3</v>
      </c>
      <c r="Q191" s="45">
        <f t="shared" si="12"/>
        <v>45747</v>
      </c>
      <c r="R191" s="43">
        <f t="shared" ca="1" si="13"/>
        <v>46276.697382638886</v>
      </c>
      <c r="S191" s="44" t="str">
        <f t="shared" si="14"/>
        <v>CA</v>
      </c>
    </row>
    <row r="192" spans="1:19" ht="18.600000000000001" thickBot="1">
      <c r="A192" s="36" t="s">
        <v>337</v>
      </c>
      <c r="B192" s="37">
        <v>45671</v>
      </c>
      <c r="C192" s="38" t="s">
        <v>120</v>
      </c>
      <c r="D192" s="38" t="s">
        <v>121</v>
      </c>
      <c r="E192" s="38" t="s">
        <v>52</v>
      </c>
      <c r="F192" s="38" t="s">
        <v>53</v>
      </c>
      <c r="G192" s="38" t="s">
        <v>19</v>
      </c>
      <c r="H192" s="39">
        <v>2</v>
      </c>
      <c r="I192" s="39">
        <v>149.99</v>
      </c>
      <c r="J192" s="38" t="s">
        <v>20</v>
      </c>
      <c r="K192" s="38" t="s">
        <v>40</v>
      </c>
      <c r="L192" s="38" t="s">
        <v>36</v>
      </c>
      <c r="M192" s="37">
        <v>44913</v>
      </c>
      <c r="N192" s="40">
        <v>299.98</v>
      </c>
      <c r="O192" s="38">
        <f t="shared" ca="1" si="10"/>
        <v>1115</v>
      </c>
      <c r="P192" s="44">
        <f t="shared" ca="1" si="11"/>
        <v>3</v>
      </c>
      <c r="Q192" s="45">
        <f t="shared" si="12"/>
        <v>45747</v>
      </c>
      <c r="R192" s="43">
        <f t="shared" ca="1" si="13"/>
        <v>46276.697382638886</v>
      </c>
      <c r="S192" s="44" t="str">
        <f t="shared" si="14"/>
        <v>LR</v>
      </c>
    </row>
    <row r="193" spans="1:19" ht="18.600000000000001" thickBot="1">
      <c r="A193" s="36" t="s">
        <v>338</v>
      </c>
      <c r="B193" s="37">
        <v>45671</v>
      </c>
      <c r="C193" s="38" t="s">
        <v>234</v>
      </c>
      <c r="D193" s="38" t="s">
        <v>235</v>
      </c>
      <c r="E193" s="38" t="s">
        <v>105</v>
      </c>
      <c r="F193" s="38" t="s">
        <v>106</v>
      </c>
      <c r="G193" s="38" t="s">
        <v>46</v>
      </c>
      <c r="H193" s="39">
        <v>3</v>
      </c>
      <c r="I193" s="39">
        <v>299.99</v>
      </c>
      <c r="J193" s="38" t="s">
        <v>26</v>
      </c>
      <c r="K193" s="38" t="s">
        <v>35</v>
      </c>
      <c r="L193" s="38" t="s">
        <v>22</v>
      </c>
      <c r="M193" s="37">
        <v>45204</v>
      </c>
      <c r="N193" s="40">
        <v>899.97</v>
      </c>
      <c r="O193" s="38">
        <f t="shared" ca="1" si="10"/>
        <v>985</v>
      </c>
      <c r="P193" s="44">
        <f t="shared" ca="1" si="11"/>
        <v>2</v>
      </c>
      <c r="Q193" s="45">
        <f t="shared" si="12"/>
        <v>45747</v>
      </c>
      <c r="R193" s="43">
        <f t="shared" ca="1" si="13"/>
        <v>46276.697382638886</v>
      </c>
      <c r="S193" s="44" t="str">
        <f t="shared" si="14"/>
        <v>DG</v>
      </c>
    </row>
    <row r="194" spans="1:19" ht="18.600000000000001" thickBot="1">
      <c r="A194" s="36" t="s">
        <v>339</v>
      </c>
      <c r="B194" s="37">
        <v>45673</v>
      </c>
      <c r="C194" s="38" t="s">
        <v>226</v>
      </c>
      <c r="D194" s="38" t="s">
        <v>227</v>
      </c>
      <c r="E194" s="38" t="s">
        <v>126</v>
      </c>
      <c r="F194" s="38" t="s">
        <v>127</v>
      </c>
      <c r="G194" s="38" t="s">
        <v>46</v>
      </c>
      <c r="H194" s="39">
        <v>4</v>
      </c>
      <c r="I194" s="39">
        <v>199.99</v>
      </c>
      <c r="J194" s="38" t="s">
        <v>57</v>
      </c>
      <c r="K194" s="38" t="s">
        <v>35</v>
      </c>
      <c r="L194" s="38" t="s">
        <v>36</v>
      </c>
      <c r="M194" s="37">
        <v>44544</v>
      </c>
      <c r="N194" s="40">
        <v>799.96</v>
      </c>
      <c r="O194" s="38">
        <f t="shared" ref="O194:O251" ca="1" si="15">DATEDIF(M229,TODAY(),"d")</f>
        <v>981</v>
      </c>
      <c r="P194" s="44">
        <f t="shared" ref="P194:P251" ca="1" si="16">DATEDIF(M229,TODAY(),"y")</f>
        <v>2</v>
      </c>
      <c r="Q194" s="45">
        <f t="shared" ref="Q194:Q251" si="17">EOMONTH(B229,0)</f>
        <v>45747</v>
      </c>
      <c r="R194" s="43">
        <f t="shared" ref="R194:R251" ca="1" si="18">IF(R229="",NOW(),R229)</f>
        <v>46276.697382638886</v>
      </c>
      <c r="S194" s="44" t="str">
        <f t="shared" ref="S194:S251" si="19">UPPER(LEFT(D229,1)&amp;LEFT(_xlfn.TEXTAFTER(D229," "),1))</f>
        <v>PB</v>
      </c>
    </row>
    <row r="195" spans="1:19" ht="18.600000000000001" thickBot="1">
      <c r="A195" s="36" t="s">
        <v>340</v>
      </c>
      <c r="B195" s="37">
        <v>45673</v>
      </c>
      <c r="C195" s="38" t="s">
        <v>211</v>
      </c>
      <c r="D195" s="38" t="s">
        <v>212</v>
      </c>
      <c r="E195" s="38" t="s">
        <v>105</v>
      </c>
      <c r="F195" s="38" t="s">
        <v>106</v>
      </c>
      <c r="G195" s="38" t="s">
        <v>46</v>
      </c>
      <c r="H195" s="39">
        <v>5</v>
      </c>
      <c r="I195" s="39">
        <v>299.99</v>
      </c>
      <c r="J195" s="38" t="s">
        <v>57</v>
      </c>
      <c r="K195" s="38" t="s">
        <v>21</v>
      </c>
      <c r="L195" s="38" t="s">
        <v>22</v>
      </c>
      <c r="M195" s="37">
        <v>44431</v>
      </c>
      <c r="N195" s="40">
        <v>1499.95</v>
      </c>
      <c r="O195" s="38">
        <f t="shared" ca="1" si="15"/>
        <v>1736</v>
      </c>
      <c r="P195" s="44">
        <f t="shared" ca="1" si="16"/>
        <v>4</v>
      </c>
      <c r="Q195" s="45">
        <f t="shared" si="17"/>
        <v>45747</v>
      </c>
      <c r="R195" s="43">
        <f t="shared" ca="1" si="18"/>
        <v>46276.697382638886</v>
      </c>
      <c r="S195" s="44" t="str">
        <f t="shared" si="19"/>
        <v>HR</v>
      </c>
    </row>
    <row r="196" spans="1:19" ht="18.600000000000001" thickBot="1">
      <c r="A196" s="36" t="s">
        <v>341</v>
      </c>
      <c r="B196" s="37">
        <v>45673</v>
      </c>
      <c r="C196" s="38" t="s">
        <v>59</v>
      </c>
      <c r="D196" s="38" t="s">
        <v>60</v>
      </c>
      <c r="E196" s="38" t="s">
        <v>44</v>
      </c>
      <c r="F196" s="38" t="s">
        <v>45</v>
      </c>
      <c r="G196" s="38" t="s">
        <v>46</v>
      </c>
      <c r="H196" s="39">
        <v>3</v>
      </c>
      <c r="I196" s="39">
        <v>149.99</v>
      </c>
      <c r="J196" s="38" t="s">
        <v>26</v>
      </c>
      <c r="K196" s="38" t="s">
        <v>63</v>
      </c>
      <c r="L196" s="38" t="s">
        <v>36</v>
      </c>
      <c r="M196" s="37">
        <v>44395</v>
      </c>
      <c r="N196" s="40">
        <v>449.97</v>
      </c>
      <c r="O196" s="38">
        <f t="shared" ca="1" si="15"/>
        <v>1644</v>
      </c>
      <c r="P196" s="44">
        <f t="shared" ca="1" si="16"/>
        <v>4</v>
      </c>
      <c r="Q196" s="45">
        <f t="shared" si="17"/>
        <v>45747</v>
      </c>
      <c r="R196" s="43">
        <f t="shared" ca="1" si="18"/>
        <v>46276.697382638886</v>
      </c>
      <c r="S196" s="44" t="str">
        <f t="shared" si="19"/>
        <v>LR</v>
      </c>
    </row>
    <row r="197" spans="1:19" ht="18.600000000000001" thickBot="1">
      <c r="A197" s="36" t="s">
        <v>342</v>
      </c>
      <c r="B197" s="37">
        <v>45676</v>
      </c>
      <c r="C197" s="38" t="s">
        <v>129</v>
      </c>
      <c r="D197" s="38" t="s">
        <v>130</v>
      </c>
      <c r="E197" s="38" t="s">
        <v>31</v>
      </c>
      <c r="F197" s="38" t="s">
        <v>32</v>
      </c>
      <c r="G197" s="38" t="s">
        <v>33</v>
      </c>
      <c r="H197" s="39">
        <v>5</v>
      </c>
      <c r="I197" s="39">
        <v>59.99</v>
      </c>
      <c r="J197" s="38" t="s">
        <v>57</v>
      </c>
      <c r="K197" s="38" t="s">
        <v>63</v>
      </c>
      <c r="L197" s="38" t="s">
        <v>22</v>
      </c>
      <c r="M197" s="37">
        <v>44642</v>
      </c>
      <c r="N197" s="40">
        <v>299.95</v>
      </c>
      <c r="O197" s="38">
        <f t="shared" ca="1" si="15"/>
        <v>887</v>
      </c>
      <c r="P197" s="44">
        <f t="shared" ca="1" si="16"/>
        <v>2</v>
      </c>
      <c r="Q197" s="45">
        <f t="shared" si="17"/>
        <v>45747</v>
      </c>
      <c r="R197" s="43">
        <f t="shared" ca="1" si="18"/>
        <v>46276.697382638886</v>
      </c>
      <c r="S197" s="44" t="str">
        <f t="shared" si="19"/>
        <v>HM</v>
      </c>
    </row>
    <row r="198" spans="1:19" ht="18.600000000000001" thickBot="1">
      <c r="A198" s="36" t="s">
        <v>343</v>
      </c>
      <c r="B198" s="37">
        <v>45682</v>
      </c>
      <c r="C198" s="38" t="s">
        <v>68</v>
      </c>
      <c r="D198" s="38" t="s">
        <v>69</v>
      </c>
      <c r="E198" s="38" t="s">
        <v>31</v>
      </c>
      <c r="F198" s="38" t="s">
        <v>32</v>
      </c>
      <c r="G198" s="38" t="s">
        <v>33</v>
      </c>
      <c r="H198" s="39">
        <v>4</v>
      </c>
      <c r="I198" s="39">
        <v>59.99</v>
      </c>
      <c r="J198" s="38" t="s">
        <v>57</v>
      </c>
      <c r="K198" s="38" t="s">
        <v>63</v>
      </c>
      <c r="L198" s="38" t="s">
        <v>36</v>
      </c>
      <c r="M198" s="37">
        <v>44564</v>
      </c>
      <c r="N198" s="40">
        <v>239.96</v>
      </c>
      <c r="O198" s="38">
        <f t="shared" ca="1" si="15"/>
        <v>1013</v>
      </c>
      <c r="P198" s="44">
        <f t="shared" ca="1" si="16"/>
        <v>2</v>
      </c>
      <c r="Q198" s="45">
        <f t="shared" si="17"/>
        <v>45747</v>
      </c>
      <c r="R198" s="43">
        <f t="shared" ca="1" si="18"/>
        <v>46276.697382638886</v>
      </c>
      <c r="S198" s="44" t="str">
        <f t="shared" si="19"/>
        <v>CA</v>
      </c>
    </row>
    <row r="199" spans="1:19" ht="18.600000000000001" thickBot="1">
      <c r="A199" s="36" t="s">
        <v>344</v>
      </c>
      <c r="B199" s="37">
        <v>45683</v>
      </c>
      <c r="C199" s="38" t="s">
        <v>48</v>
      </c>
      <c r="D199" s="38" t="s">
        <v>49</v>
      </c>
      <c r="E199" s="38" t="s">
        <v>17</v>
      </c>
      <c r="F199" s="38" t="s">
        <v>18</v>
      </c>
      <c r="G199" s="38" t="s">
        <v>19</v>
      </c>
      <c r="H199" s="39">
        <v>4</v>
      </c>
      <c r="I199" s="39">
        <v>249.99</v>
      </c>
      <c r="J199" s="38" t="s">
        <v>57</v>
      </c>
      <c r="K199" s="38" t="s">
        <v>21</v>
      </c>
      <c r="L199" s="38" t="s">
        <v>27</v>
      </c>
      <c r="M199" s="37">
        <v>45217</v>
      </c>
      <c r="N199" s="40">
        <v>999.96</v>
      </c>
      <c r="O199" s="38">
        <f t="shared" ca="1" si="15"/>
        <v>1159</v>
      </c>
      <c r="P199" s="44">
        <f t="shared" ca="1" si="16"/>
        <v>3</v>
      </c>
      <c r="Q199" s="45">
        <f t="shared" si="17"/>
        <v>45747</v>
      </c>
      <c r="R199" s="43">
        <f t="shared" ca="1" si="18"/>
        <v>46276.697382638886</v>
      </c>
      <c r="S199" s="44" t="str">
        <f t="shared" si="19"/>
        <v>HM</v>
      </c>
    </row>
    <row r="200" spans="1:19" ht="18.600000000000001" thickBot="1">
      <c r="A200" s="36" t="s">
        <v>345</v>
      </c>
      <c r="B200" s="37">
        <v>45686</v>
      </c>
      <c r="C200" s="38" t="s">
        <v>252</v>
      </c>
      <c r="D200" s="38" t="s">
        <v>253</v>
      </c>
      <c r="E200" s="38" t="s">
        <v>61</v>
      </c>
      <c r="F200" s="38" t="s">
        <v>62</v>
      </c>
      <c r="G200" s="38" t="s">
        <v>19</v>
      </c>
      <c r="H200" s="39">
        <v>4</v>
      </c>
      <c r="I200" s="39">
        <v>899.99</v>
      </c>
      <c r="J200" s="38" t="s">
        <v>34</v>
      </c>
      <c r="K200" s="38" t="s">
        <v>21</v>
      </c>
      <c r="L200" s="38" t="s">
        <v>22</v>
      </c>
      <c r="M200" s="37">
        <v>44734</v>
      </c>
      <c r="N200" s="40">
        <v>3599.96</v>
      </c>
      <c r="O200" s="38">
        <f t="shared" ca="1" si="15"/>
        <v>1083</v>
      </c>
      <c r="P200" s="44">
        <f t="shared" ca="1" si="16"/>
        <v>2</v>
      </c>
      <c r="Q200" s="45">
        <f t="shared" si="17"/>
        <v>45747</v>
      </c>
      <c r="R200" s="43">
        <f t="shared" ca="1" si="18"/>
        <v>46276.697382638886</v>
      </c>
      <c r="S200" s="44" t="str">
        <f t="shared" si="19"/>
        <v>FT</v>
      </c>
    </row>
    <row r="201" spans="1:19" ht="18.600000000000001" thickBot="1">
      <c r="A201" s="36" t="s">
        <v>346</v>
      </c>
      <c r="B201" s="37">
        <v>45686</v>
      </c>
      <c r="C201" s="38" t="s">
        <v>86</v>
      </c>
      <c r="D201" s="38" t="s">
        <v>87</v>
      </c>
      <c r="E201" s="38" t="s">
        <v>105</v>
      </c>
      <c r="F201" s="38" t="s">
        <v>106</v>
      </c>
      <c r="G201" s="38" t="s">
        <v>46</v>
      </c>
      <c r="H201" s="39">
        <v>3</v>
      </c>
      <c r="I201" s="39">
        <v>299.99</v>
      </c>
      <c r="J201" s="38" t="s">
        <v>57</v>
      </c>
      <c r="K201" s="38" t="s">
        <v>50</v>
      </c>
      <c r="L201" s="38" t="s">
        <v>36</v>
      </c>
      <c r="M201" s="37">
        <v>44952</v>
      </c>
      <c r="N201" s="40">
        <v>899.97</v>
      </c>
      <c r="O201" s="38">
        <f t="shared" ca="1" si="15"/>
        <v>1043</v>
      </c>
      <c r="P201" s="44">
        <f t="shared" ca="1" si="16"/>
        <v>2</v>
      </c>
      <c r="Q201" s="45">
        <f t="shared" si="17"/>
        <v>45747</v>
      </c>
      <c r="R201" s="43">
        <f t="shared" ca="1" si="18"/>
        <v>46276.697382638886</v>
      </c>
      <c r="S201" s="44" t="str">
        <f t="shared" si="19"/>
        <v>EW</v>
      </c>
    </row>
    <row r="202" spans="1:19" ht="18.600000000000001" thickBot="1">
      <c r="A202" s="36" t="s">
        <v>347</v>
      </c>
      <c r="B202" s="37">
        <v>45686</v>
      </c>
      <c r="C202" s="38" t="s">
        <v>293</v>
      </c>
      <c r="D202" s="38" t="s">
        <v>294</v>
      </c>
      <c r="E202" s="38" t="s">
        <v>80</v>
      </c>
      <c r="F202" s="38" t="s">
        <v>81</v>
      </c>
      <c r="G202" s="38" t="s">
        <v>19</v>
      </c>
      <c r="H202" s="39">
        <v>2</v>
      </c>
      <c r="I202" s="39">
        <v>699.99</v>
      </c>
      <c r="J202" s="38" t="s">
        <v>57</v>
      </c>
      <c r="K202" s="38" t="s">
        <v>21</v>
      </c>
      <c r="L202" s="38" t="s">
        <v>27</v>
      </c>
      <c r="M202" s="37">
        <v>44681</v>
      </c>
      <c r="N202" s="40">
        <v>1399.98</v>
      </c>
      <c r="O202" s="38">
        <f t="shared" ca="1" si="15"/>
        <v>1400</v>
      </c>
      <c r="P202" s="44">
        <f t="shared" ca="1" si="16"/>
        <v>3</v>
      </c>
      <c r="Q202" s="45">
        <f t="shared" si="17"/>
        <v>45747</v>
      </c>
      <c r="R202" s="43">
        <f t="shared" ca="1" si="18"/>
        <v>46276.697382638886</v>
      </c>
      <c r="S202" s="44" t="str">
        <f t="shared" si="19"/>
        <v>SB</v>
      </c>
    </row>
    <row r="203" spans="1:19" ht="18.600000000000001" thickBot="1">
      <c r="A203" s="36" t="s">
        <v>348</v>
      </c>
      <c r="B203" s="37">
        <v>45688</v>
      </c>
      <c r="C203" s="38" t="s">
        <v>65</v>
      </c>
      <c r="D203" s="38" t="s">
        <v>66</v>
      </c>
      <c r="E203" s="38" t="s">
        <v>80</v>
      </c>
      <c r="F203" s="38" t="s">
        <v>81</v>
      </c>
      <c r="G203" s="38" t="s">
        <v>19</v>
      </c>
      <c r="H203" s="39">
        <v>4</v>
      </c>
      <c r="I203" s="39">
        <v>699.99</v>
      </c>
      <c r="J203" s="38" t="s">
        <v>57</v>
      </c>
      <c r="K203" s="38" t="s">
        <v>50</v>
      </c>
      <c r="L203" s="38" t="s">
        <v>27</v>
      </c>
      <c r="M203" s="37">
        <v>44692</v>
      </c>
      <c r="N203" s="40">
        <v>2799.96</v>
      </c>
      <c r="O203" s="38">
        <f t="shared" ca="1" si="15"/>
        <v>1301</v>
      </c>
      <c r="P203" s="44">
        <f t="shared" ca="1" si="16"/>
        <v>3</v>
      </c>
      <c r="Q203" s="45">
        <f t="shared" si="17"/>
        <v>45747</v>
      </c>
      <c r="R203" s="43">
        <f t="shared" ca="1" si="18"/>
        <v>46276.697382638886</v>
      </c>
      <c r="S203" s="44" t="str">
        <f t="shared" si="19"/>
        <v>DN</v>
      </c>
    </row>
    <row r="204" spans="1:19" ht="18.600000000000001" thickBot="1">
      <c r="A204" s="36" t="s">
        <v>349</v>
      </c>
      <c r="B204" s="37">
        <v>45688</v>
      </c>
      <c r="C204" s="38" t="s">
        <v>123</v>
      </c>
      <c r="D204" s="38" t="s">
        <v>124</v>
      </c>
      <c r="E204" s="38" t="s">
        <v>117</v>
      </c>
      <c r="F204" s="38" t="s">
        <v>118</v>
      </c>
      <c r="G204" s="38" t="s">
        <v>19</v>
      </c>
      <c r="H204" s="39">
        <v>2</v>
      </c>
      <c r="I204" s="39">
        <v>89.99</v>
      </c>
      <c r="J204" s="38" t="s">
        <v>57</v>
      </c>
      <c r="K204" s="38" t="s">
        <v>35</v>
      </c>
      <c r="L204" s="38" t="s">
        <v>22</v>
      </c>
      <c r="M204" s="37">
        <v>44777</v>
      </c>
      <c r="N204" s="40">
        <v>179.98</v>
      </c>
      <c r="O204" s="38">
        <f t="shared" ca="1" si="15"/>
        <v>1042</v>
      </c>
      <c r="P204" s="44">
        <f t="shared" ca="1" si="16"/>
        <v>2</v>
      </c>
      <c r="Q204" s="45">
        <f t="shared" si="17"/>
        <v>45747</v>
      </c>
      <c r="R204" s="43">
        <f t="shared" ca="1" si="18"/>
        <v>46276.697382638886</v>
      </c>
      <c r="S204" s="44" t="str">
        <f t="shared" si="19"/>
        <v>PB</v>
      </c>
    </row>
    <row r="205" spans="1:19" ht="18.600000000000001" thickBot="1">
      <c r="A205" s="36" t="s">
        <v>350</v>
      </c>
      <c r="B205" s="37">
        <v>45688</v>
      </c>
      <c r="C205" s="38" t="s">
        <v>42</v>
      </c>
      <c r="D205" s="38" t="s">
        <v>43</v>
      </c>
      <c r="E205" s="38" t="s">
        <v>117</v>
      </c>
      <c r="F205" s="38" t="s">
        <v>118</v>
      </c>
      <c r="G205" s="38" t="s">
        <v>19</v>
      </c>
      <c r="H205" s="39">
        <v>3</v>
      </c>
      <c r="I205" s="39">
        <v>89.99</v>
      </c>
      <c r="J205" s="38" t="s">
        <v>57</v>
      </c>
      <c r="K205" s="38" t="s">
        <v>35</v>
      </c>
      <c r="L205" s="38" t="s">
        <v>27</v>
      </c>
      <c r="M205" s="37">
        <v>45307</v>
      </c>
      <c r="N205" s="40">
        <v>269.97000000000003</v>
      </c>
      <c r="O205" s="38">
        <f t="shared" ca="1" si="15"/>
        <v>1716</v>
      </c>
      <c r="P205" s="44">
        <f t="shared" ca="1" si="16"/>
        <v>4</v>
      </c>
      <c r="Q205" s="45">
        <f t="shared" si="17"/>
        <v>45747</v>
      </c>
      <c r="R205" s="43">
        <f t="shared" ca="1" si="18"/>
        <v>46276.697382638886</v>
      </c>
      <c r="S205" s="44" t="str">
        <f t="shared" si="19"/>
        <v>JS</v>
      </c>
    </row>
    <row r="206" spans="1:19" ht="18.600000000000001" thickBot="1">
      <c r="A206" s="36" t="s">
        <v>351</v>
      </c>
      <c r="B206" s="37">
        <v>45692</v>
      </c>
      <c r="C206" s="38" t="s">
        <v>325</v>
      </c>
      <c r="D206" s="38" t="s">
        <v>326</v>
      </c>
      <c r="E206" s="38" t="s">
        <v>31</v>
      </c>
      <c r="F206" s="38" t="s">
        <v>32</v>
      </c>
      <c r="G206" s="38" t="s">
        <v>33</v>
      </c>
      <c r="H206" s="39">
        <v>1</v>
      </c>
      <c r="I206" s="39">
        <v>59.99</v>
      </c>
      <c r="J206" s="38" t="s">
        <v>57</v>
      </c>
      <c r="K206" s="38" t="s">
        <v>21</v>
      </c>
      <c r="L206" s="38" t="s">
        <v>36</v>
      </c>
      <c r="M206" s="37">
        <v>45045</v>
      </c>
      <c r="N206" s="40">
        <v>59.99</v>
      </c>
      <c r="O206" s="38">
        <f t="shared" ca="1" si="15"/>
        <v>988</v>
      </c>
      <c r="P206" s="44">
        <f t="shared" ca="1" si="16"/>
        <v>2</v>
      </c>
      <c r="Q206" s="45">
        <f t="shared" si="17"/>
        <v>45747</v>
      </c>
      <c r="R206" s="43">
        <f t="shared" ca="1" si="18"/>
        <v>46276.697382638886</v>
      </c>
      <c r="S206" s="44" t="str">
        <f t="shared" si="19"/>
        <v>CP</v>
      </c>
    </row>
    <row r="207" spans="1:19" ht="18.600000000000001" thickBot="1">
      <c r="A207" s="36" t="s">
        <v>352</v>
      </c>
      <c r="B207" s="37">
        <v>45695</v>
      </c>
      <c r="C207" s="38" t="s">
        <v>246</v>
      </c>
      <c r="D207" s="38" t="s">
        <v>247</v>
      </c>
      <c r="E207" s="38" t="s">
        <v>44</v>
      </c>
      <c r="F207" s="38" t="s">
        <v>45</v>
      </c>
      <c r="G207" s="38" t="s">
        <v>46</v>
      </c>
      <c r="H207" s="39">
        <v>3</v>
      </c>
      <c r="I207" s="39">
        <v>149.99</v>
      </c>
      <c r="J207" s="38" t="s">
        <v>57</v>
      </c>
      <c r="K207" s="38" t="s">
        <v>40</v>
      </c>
      <c r="L207" s="38" t="s">
        <v>27</v>
      </c>
      <c r="M207" s="37">
        <v>44564</v>
      </c>
      <c r="N207" s="40">
        <v>449.97</v>
      </c>
      <c r="O207" s="38">
        <f t="shared" ca="1" si="15"/>
        <v>1572</v>
      </c>
      <c r="P207" s="44">
        <f t="shared" ca="1" si="16"/>
        <v>4</v>
      </c>
      <c r="Q207" s="45">
        <f t="shared" si="17"/>
        <v>45747</v>
      </c>
      <c r="R207" s="43">
        <f t="shared" ca="1" si="18"/>
        <v>46276.697382638886</v>
      </c>
      <c r="S207" s="44" t="str">
        <f t="shared" si="19"/>
        <v>MW</v>
      </c>
    </row>
    <row r="208" spans="1:19" ht="18.600000000000001" thickBot="1">
      <c r="A208" s="36" t="s">
        <v>353</v>
      </c>
      <c r="B208" s="37">
        <v>45695</v>
      </c>
      <c r="C208" s="38" t="s">
        <v>93</v>
      </c>
      <c r="D208" s="38" t="s">
        <v>94</v>
      </c>
      <c r="E208" s="38" t="s">
        <v>105</v>
      </c>
      <c r="F208" s="38" t="s">
        <v>106</v>
      </c>
      <c r="G208" s="38" t="s">
        <v>46</v>
      </c>
      <c r="H208" s="39">
        <v>5</v>
      </c>
      <c r="I208" s="39">
        <v>299.99</v>
      </c>
      <c r="J208" s="38" t="s">
        <v>26</v>
      </c>
      <c r="K208" s="38" t="s">
        <v>35</v>
      </c>
      <c r="L208" s="38" t="s">
        <v>22</v>
      </c>
      <c r="M208" s="37">
        <v>44959</v>
      </c>
      <c r="N208" s="40">
        <v>1499.95</v>
      </c>
      <c r="O208" s="38">
        <f t="shared" ca="1" si="15"/>
        <v>1105</v>
      </c>
      <c r="P208" s="44">
        <f t="shared" ca="1" si="16"/>
        <v>3</v>
      </c>
      <c r="Q208" s="45">
        <f t="shared" si="17"/>
        <v>45747</v>
      </c>
      <c r="R208" s="43">
        <f t="shared" ca="1" si="18"/>
        <v>46276.697382638886</v>
      </c>
      <c r="S208" s="44" t="str">
        <f t="shared" si="19"/>
        <v>VS</v>
      </c>
    </row>
    <row r="209" spans="1:19" ht="18.600000000000001" thickBot="1">
      <c r="A209" s="36" t="s">
        <v>354</v>
      </c>
      <c r="B209" s="37">
        <v>45696</v>
      </c>
      <c r="C209" s="38" t="s">
        <v>150</v>
      </c>
      <c r="D209" s="38" t="s">
        <v>151</v>
      </c>
      <c r="E209" s="38" t="s">
        <v>31</v>
      </c>
      <c r="F209" s="38" t="s">
        <v>32</v>
      </c>
      <c r="G209" s="38" t="s">
        <v>33</v>
      </c>
      <c r="H209" s="39">
        <v>5</v>
      </c>
      <c r="I209" s="39">
        <v>59.99</v>
      </c>
      <c r="J209" s="38" t="s">
        <v>57</v>
      </c>
      <c r="K209" s="38" t="s">
        <v>21</v>
      </c>
      <c r="L209" s="38" t="s">
        <v>36</v>
      </c>
      <c r="M209" s="37">
        <v>45177</v>
      </c>
      <c r="N209" s="40">
        <v>299.95</v>
      </c>
      <c r="O209" s="38">
        <f t="shared" ca="1" si="15"/>
        <v>1754</v>
      </c>
      <c r="P209" s="44">
        <f t="shared" ca="1" si="16"/>
        <v>4</v>
      </c>
      <c r="Q209" s="45">
        <f t="shared" si="17"/>
        <v>45747</v>
      </c>
      <c r="R209" s="43">
        <f t="shared" ca="1" si="18"/>
        <v>46276.697382638886</v>
      </c>
      <c r="S209" s="44" t="str">
        <f t="shared" si="19"/>
        <v>KH</v>
      </c>
    </row>
    <row r="210" spans="1:19" ht="18.600000000000001" thickBot="1">
      <c r="A210" s="36" t="s">
        <v>355</v>
      </c>
      <c r="B210" s="37">
        <v>45701</v>
      </c>
      <c r="C210" s="38" t="s">
        <v>108</v>
      </c>
      <c r="D210" s="38" t="s">
        <v>109</v>
      </c>
      <c r="E210" s="38" t="s">
        <v>114</v>
      </c>
      <c r="F210" s="38" t="s">
        <v>115</v>
      </c>
      <c r="G210" s="38" t="s">
        <v>33</v>
      </c>
      <c r="H210" s="39">
        <v>3</v>
      </c>
      <c r="I210" s="39">
        <v>79.989999999999995</v>
      </c>
      <c r="J210" s="38" t="s">
        <v>20</v>
      </c>
      <c r="K210" s="38" t="s">
        <v>63</v>
      </c>
      <c r="L210" s="38" t="s">
        <v>27</v>
      </c>
      <c r="M210" s="37">
        <v>44436</v>
      </c>
      <c r="N210" s="40">
        <v>239.97</v>
      </c>
      <c r="O210" s="38">
        <f t="shared" ca="1" si="15"/>
        <v>1658</v>
      </c>
      <c r="P210" s="44">
        <f t="shared" ca="1" si="16"/>
        <v>4</v>
      </c>
      <c r="Q210" s="45">
        <f t="shared" si="17"/>
        <v>45777</v>
      </c>
      <c r="R210" s="43">
        <f t="shared" ca="1" si="18"/>
        <v>46276.697382638886</v>
      </c>
      <c r="S210" s="44" t="str">
        <f t="shared" si="19"/>
        <v>CP</v>
      </c>
    </row>
    <row r="211" spans="1:19" ht="18.600000000000001" thickBot="1">
      <c r="A211" s="36" t="s">
        <v>356</v>
      </c>
      <c r="B211" s="37">
        <v>45704</v>
      </c>
      <c r="C211" s="38" t="s">
        <v>29</v>
      </c>
      <c r="D211" s="38" t="s">
        <v>30</v>
      </c>
      <c r="E211" s="38" t="s">
        <v>126</v>
      </c>
      <c r="F211" s="38" t="s">
        <v>127</v>
      </c>
      <c r="G211" s="38" t="s">
        <v>46</v>
      </c>
      <c r="H211" s="39">
        <v>3</v>
      </c>
      <c r="I211" s="39">
        <v>199.99</v>
      </c>
      <c r="J211" s="38" t="s">
        <v>20</v>
      </c>
      <c r="K211" s="38" t="s">
        <v>21</v>
      </c>
      <c r="L211" s="38" t="s">
        <v>22</v>
      </c>
      <c r="M211" s="37">
        <v>44735</v>
      </c>
      <c r="N211" s="40">
        <v>599.97</v>
      </c>
      <c r="O211" s="38">
        <f t="shared" ca="1" si="15"/>
        <v>1323</v>
      </c>
      <c r="P211" s="44">
        <f t="shared" ca="1" si="16"/>
        <v>3</v>
      </c>
      <c r="Q211" s="45">
        <f t="shared" si="17"/>
        <v>45777</v>
      </c>
      <c r="R211" s="43">
        <f t="shared" ca="1" si="18"/>
        <v>46276.697382638886</v>
      </c>
      <c r="S211" s="44" t="str">
        <f t="shared" si="19"/>
        <v>EM</v>
      </c>
    </row>
    <row r="212" spans="1:19" ht="18.600000000000001" thickBot="1">
      <c r="A212" s="36" t="s">
        <v>357</v>
      </c>
      <c r="B212" s="37">
        <v>45704</v>
      </c>
      <c r="C212" s="38" t="s">
        <v>15</v>
      </c>
      <c r="D212" s="38" t="s">
        <v>16</v>
      </c>
      <c r="E212" s="38" t="s">
        <v>117</v>
      </c>
      <c r="F212" s="38" t="s">
        <v>118</v>
      </c>
      <c r="G212" s="38" t="s">
        <v>19</v>
      </c>
      <c r="H212" s="39">
        <v>2</v>
      </c>
      <c r="I212" s="39">
        <v>89.99</v>
      </c>
      <c r="J212" s="38" t="s">
        <v>34</v>
      </c>
      <c r="K212" s="38" t="s">
        <v>21</v>
      </c>
      <c r="L212" s="38" t="s">
        <v>22</v>
      </c>
      <c r="M212" s="37">
        <v>45257</v>
      </c>
      <c r="N212" s="40">
        <v>179.98</v>
      </c>
      <c r="O212" s="38">
        <f t="shared" ca="1" si="15"/>
        <v>1765</v>
      </c>
      <c r="P212" s="44">
        <f t="shared" ca="1" si="16"/>
        <v>4</v>
      </c>
      <c r="Q212" s="45">
        <f t="shared" si="17"/>
        <v>45777</v>
      </c>
      <c r="R212" s="43">
        <f t="shared" ca="1" si="18"/>
        <v>46276.697382638886</v>
      </c>
      <c r="S212" s="44" t="str">
        <f t="shared" si="19"/>
        <v>VS</v>
      </c>
    </row>
    <row r="213" spans="1:19" ht="18.600000000000001" thickBot="1">
      <c r="A213" s="36" t="s">
        <v>358</v>
      </c>
      <c r="B213" s="37">
        <v>45705</v>
      </c>
      <c r="C213" s="38" t="s">
        <v>259</v>
      </c>
      <c r="D213" s="38" t="s">
        <v>260</v>
      </c>
      <c r="E213" s="38" t="s">
        <v>44</v>
      </c>
      <c r="F213" s="38" t="s">
        <v>45</v>
      </c>
      <c r="G213" s="38" t="s">
        <v>46</v>
      </c>
      <c r="H213" s="39">
        <v>2</v>
      </c>
      <c r="I213" s="39">
        <v>149.99</v>
      </c>
      <c r="J213" s="38" t="s">
        <v>20</v>
      </c>
      <c r="K213" s="38" t="s">
        <v>35</v>
      </c>
      <c r="L213" s="38" t="s">
        <v>27</v>
      </c>
      <c r="M213" s="37">
        <v>44728</v>
      </c>
      <c r="N213" s="40">
        <v>299.98</v>
      </c>
      <c r="O213" s="38">
        <f t="shared" ca="1" si="15"/>
        <v>930</v>
      </c>
      <c r="P213" s="44">
        <f t="shared" ca="1" si="16"/>
        <v>2</v>
      </c>
      <c r="Q213" s="45">
        <f t="shared" si="17"/>
        <v>45777</v>
      </c>
      <c r="R213" s="43">
        <f t="shared" ca="1" si="18"/>
        <v>46276.697382638886</v>
      </c>
      <c r="S213" s="44" t="str">
        <f t="shared" si="19"/>
        <v>RT</v>
      </c>
    </row>
    <row r="214" spans="1:19" ht="18.600000000000001" thickBot="1">
      <c r="A214" s="36" t="s">
        <v>359</v>
      </c>
      <c r="B214" s="37">
        <v>45707</v>
      </c>
      <c r="C214" s="38" t="s">
        <v>123</v>
      </c>
      <c r="D214" s="38" t="s">
        <v>124</v>
      </c>
      <c r="E214" s="38" t="s">
        <v>80</v>
      </c>
      <c r="F214" s="38" t="s">
        <v>81</v>
      </c>
      <c r="G214" s="38" t="s">
        <v>19</v>
      </c>
      <c r="H214" s="39">
        <v>5</v>
      </c>
      <c r="I214" s="39">
        <v>699.99</v>
      </c>
      <c r="J214" s="38" t="s">
        <v>34</v>
      </c>
      <c r="K214" s="38" t="s">
        <v>35</v>
      </c>
      <c r="L214" s="38" t="s">
        <v>27</v>
      </c>
      <c r="M214" s="37">
        <v>45352</v>
      </c>
      <c r="N214" s="40">
        <v>3499.95</v>
      </c>
      <c r="O214" s="38">
        <f t="shared" ca="1" si="15"/>
        <v>1367</v>
      </c>
      <c r="P214" s="44">
        <f t="shared" ca="1" si="16"/>
        <v>3</v>
      </c>
      <c r="Q214" s="45">
        <f t="shared" si="17"/>
        <v>45777</v>
      </c>
      <c r="R214" s="43">
        <f t="shared" ca="1" si="18"/>
        <v>46276.697382638886</v>
      </c>
      <c r="S214" s="44" t="str">
        <f t="shared" si="19"/>
        <v>DW</v>
      </c>
    </row>
    <row r="215" spans="1:19" ht="18.600000000000001" thickBot="1">
      <c r="A215" s="36" t="s">
        <v>360</v>
      </c>
      <c r="B215" s="37">
        <v>45707</v>
      </c>
      <c r="C215" s="38" t="s">
        <v>42</v>
      </c>
      <c r="D215" s="38" t="s">
        <v>43</v>
      </c>
      <c r="E215" s="38" t="s">
        <v>44</v>
      </c>
      <c r="F215" s="38" t="s">
        <v>45</v>
      </c>
      <c r="G215" s="38" t="s">
        <v>46</v>
      </c>
      <c r="H215" s="39">
        <v>3</v>
      </c>
      <c r="I215" s="39">
        <v>149.99</v>
      </c>
      <c r="J215" s="38" t="s">
        <v>34</v>
      </c>
      <c r="K215" s="38" t="s">
        <v>21</v>
      </c>
      <c r="L215" s="38" t="s">
        <v>36</v>
      </c>
      <c r="M215" s="37">
        <v>44633</v>
      </c>
      <c r="N215" s="40">
        <v>449.97</v>
      </c>
      <c r="O215" s="38">
        <f t="shared" ca="1" si="15"/>
        <v>1188</v>
      </c>
      <c r="P215" s="44">
        <f t="shared" ca="1" si="16"/>
        <v>3</v>
      </c>
      <c r="Q215" s="45">
        <f t="shared" si="17"/>
        <v>45777</v>
      </c>
      <c r="R215" s="43">
        <f t="shared" ca="1" si="18"/>
        <v>46276.697382638886</v>
      </c>
      <c r="S215" s="44" t="str">
        <f t="shared" si="19"/>
        <v>LR</v>
      </c>
    </row>
    <row r="216" spans="1:19" ht="18.600000000000001" thickBot="1">
      <c r="A216" s="36" t="s">
        <v>361</v>
      </c>
      <c r="B216" s="37">
        <v>45708</v>
      </c>
      <c r="C216" s="38" t="s">
        <v>96</v>
      </c>
      <c r="D216" s="38" t="s">
        <v>97</v>
      </c>
      <c r="E216" s="38" t="s">
        <v>61</v>
      </c>
      <c r="F216" s="38" t="s">
        <v>62</v>
      </c>
      <c r="G216" s="38" t="s">
        <v>19</v>
      </c>
      <c r="H216" s="39">
        <v>3</v>
      </c>
      <c r="I216" s="39">
        <v>899.99</v>
      </c>
      <c r="J216" s="38" t="s">
        <v>20</v>
      </c>
      <c r="K216" s="38" t="s">
        <v>63</v>
      </c>
      <c r="L216" s="38" t="s">
        <v>36</v>
      </c>
      <c r="M216" s="37">
        <v>44613</v>
      </c>
      <c r="N216" s="40">
        <v>2699.97</v>
      </c>
      <c r="O216" s="38">
        <f t="shared" ca="1" si="15"/>
        <v>1398</v>
      </c>
      <c r="P216" s="44">
        <f t="shared" ca="1" si="16"/>
        <v>3</v>
      </c>
      <c r="Q216" s="45">
        <f t="shared" si="17"/>
        <v>45777</v>
      </c>
      <c r="R216" s="43">
        <f t="shared" ca="1" si="18"/>
        <v>46276.697382638886</v>
      </c>
      <c r="S216" s="44" t="str">
        <f t="shared" si="19"/>
        <v>ST</v>
      </c>
    </row>
    <row r="217" spans="1:19" ht="18.600000000000001" thickBot="1">
      <c r="A217" s="36" t="s">
        <v>362</v>
      </c>
      <c r="B217" s="37">
        <v>45708</v>
      </c>
      <c r="C217" s="38" t="s">
        <v>192</v>
      </c>
      <c r="D217" s="38" t="s">
        <v>193</v>
      </c>
      <c r="E217" s="38" t="s">
        <v>126</v>
      </c>
      <c r="F217" s="38" t="s">
        <v>127</v>
      </c>
      <c r="G217" s="38" t="s">
        <v>46</v>
      </c>
      <c r="H217" s="39">
        <v>3</v>
      </c>
      <c r="I217" s="39">
        <v>199.99</v>
      </c>
      <c r="J217" s="38" t="s">
        <v>20</v>
      </c>
      <c r="K217" s="38" t="s">
        <v>50</v>
      </c>
      <c r="L217" s="38" t="s">
        <v>27</v>
      </c>
      <c r="M217" s="37">
        <v>44823</v>
      </c>
      <c r="N217" s="40">
        <v>599.97</v>
      </c>
      <c r="O217" s="38">
        <f t="shared" ca="1" si="15"/>
        <v>46276</v>
      </c>
      <c r="P217" s="44">
        <f t="shared" ca="1" si="16"/>
        <v>126</v>
      </c>
      <c r="Q217" s="45">
        <f t="shared" si="17"/>
        <v>31</v>
      </c>
      <c r="R217" s="43">
        <f t="shared" ca="1" si="18"/>
        <v>46276.697382638886</v>
      </c>
      <c r="S217" s="44" t="e">
        <f t="shared" si="19"/>
        <v>#N/A</v>
      </c>
    </row>
    <row r="218" spans="1:19" ht="18.600000000000001" thickBot="1">
      <c r="A218" s="36" t="s">
        <v>363</v>
      </c>
      <c r="B218" s="37">
        <v>45710</v>
      </c>
      <c r="C218" s="38" t="s">
        <v>55</v>
      </c>
      <c r="D218" s="38" t="s">
        <v>56</v>
      </c>
      <c r="E218" s="38" t="s">
        <v>105</v>
      </c>
      <c r="F218" s="38" t="s">
        <v>106</v>
      </c>
      <c r="G218" s="38" t="s">
        <v>46</v>
      </c>
      <c r="H218" s="39">
        <v>5</v>
      </c>
      <c r="I218" s="39">
        <v>299.99</v>
      </c>
      <c r="J218" s="38" t="s">
        <v>20</v>
      </c>
      <c r="K218" s="38" t="s">
        <v>50</v>
      </c>
      <c r="L218" s="38" t="s">
        <v>36</v>
      </c>
      <c r="M218" s="37">
        <v>45142</v>
      </c>
      <c r="N218" s="40">
        <v>1499.95</v>
      </c>
      <c r="O218" s="38">
        <f t="shared" ca="1" si="15"/>
        <v>46276</v>
      </c>
      <c r="P218" s="44">
        <f t="shared" ca="1" si="16"/>
        <v>126</v>
      </c>
      <c r="Q218" s="45">
        <f t="shared" si="17"/>
        <v>31</v>
      </c>
      <c r="R218" s="43">
        <f t="shared" ca="1" si="18"/>
        <v>46276.697382638886</v>
      </c>
      <c r="S218" s="44" t="e">
        <f t="shared" si="19"/>
        <v>#N/A</v>
      </c>
    </row>
    <row r="219" spans="1:19" ht="18.600000000000001" thickBot="1">
      <c r="A219" s="36" t="s">
        <v>364</v>
      </c>
      <c r="B219" s="37">
        <v>45710</v>
      </c>
      <c r="C219" s="38" t="s">
        <v>150</v>
      </c>
      <c r="D219" s="38" t="s">
        <v>151</v>
      </c>
      <c r="E219" s="38" t="s">
        <v>80</v>
      </c>
      <c r="F219" s="38" t="s">
        <v>81</v>
      </c>
      <c r="G219" s="38" t="s">
        <v>19</v>
      </c>
      <c r="H219" s="39">
        <v>1</v>
      </c>
      <c r="I219" s="39">
        <v>699.99</v>
      </c>
      <c r="J219" s="38" t="s">
        <v>34</v>
      </c>
      <c r="K219" s="38" t="s">
        <v>50</v>
      </c>
      <c r="L219" s="38" t="s">
        <v>22</v>
      </c>
      <c r="M219" s="37">
        <v>44934</v>
      </c>
      <c r="N219" s="40">
        <v>699.99</v>
      </c>
      <c r="O219" s="38">
        <f t="shared" ca="1" si="15"/>
        <v>46276</v>
      </c>
      <c r="P219" s="44">
        <f t="shared" ca="1" si="16"/>
        <v>126</v>
      </c>
      <c r="Q219" s="45">
        <f t="shared" si="17"/>
        <v>31</v>
      </c>
      <c r="R219" s="43">
        <f t="shared" ca="1" si="18"/>
        <v>46276.697382638886</v>
      </c>
      <c r="S219" s="44" t="e">
        <f t="shared" si="19"/>
        <v>#N/A</v>
      </c>
    </row>
    <row r="220" spans="1:19" ht="18.600000000000001" thickBot="1">
      <c r="A220" s="36" t="s">
        <v>365</v>
      </c>
      <c r="B220" s="37">
        <v>45711</v>
      </c>
      <c r="C220" s="38" t="s">
        <v>246</v>
      </c>
      <c r="D220" s="38" t="s">
        <v>247</v>
      </c>
      <c r="E220" s="38" t="s">
        <v>80</v>
      </c>
      <c r="F220" s="38" t="s">
        <v>81</v>
      </c>
      <c r="G220" s="38" t="s">
        <v>19</v>
      </c>
      <c r="H220" s="39">
        <v>1</v>
      </c>
      <c r="I220" s="39">
        <v>699.99</v>
      </c>
      <c r="J220" s="38" t="s">
        <v>20</v>
      </c>
      <c r="K220" s="38" t="s">
        <v>40</v>
      </c>
      <c r="L220" s="38" t="s">
        <v>27</v>
      </c>
      <c r="M220" s="37">
        <v>44583</v>
      </c>
      <c r="N220" s="40">
        <v>699.99</v>
      </c>
      <c r="O220" s="38">
        <f t="shared" ca="1" si="15"/>
        <v>46276</v>
      </c>
      <c r="P220" s="44">
        <f t="shared" ca="1" si="16"/>
        <v>126</v>
      </c>
      <c r="Q220" s="45">
        <f t="shared" si="17"/>
        <v>31</v>
      </c>
      <c r="R220" s="43">
        <f t="shared" ca="1" si="18"/>
        <v>46276.697382638886</v>
      </c>
      <c r="S220" s="44" t="e">
        <f t="shared" si="19"/>
        <v>#N/A</v>
      </c>
    </row>
    <row r="221" spans="1:19" ht="18.600000000000001" thickBot="1">
      <c r="A221" s="36" t="s">
        <v>366</v>
      </c>
      <c r="B221" s="37">
        <v>45711</v>
      </c>
      <c r="C221" s="38" t="s">
        <v>325</v>
      </c>
      <c r="D221" s="38" t="s">
        <v>326</v>
      </c>
      <c r="E221" s="38" t="s">
        <v>44</v>
      </c>
      <c r="F221" s="38" t="s">
        <v>45</v>
      </c>
      <c r="G221" s="38" t="s">
        <v>46</v>
      </c>
      <c r="H221" s="39">
        <v>4</v>
      </c>
      <c r="I221" s="39">
        <v>149.99</v>
      </c>
      <c r="J221" s="38" t="s">
        <v>34</v>
      </c>
      <c r="K221" s="38" t="s">
        <v>40</v>
      </c>
      <c r="L221" s="38" t="s">
        <v>27</v>
      </c>
      <c r="M221" s="37">
        <v>44412</v>
      </c>
      <c r="N221" s="40">
        <v>599.96</v>
      </c>
      <c r="O221" s="38">
        <f t="shared" ca="1" si="15"/>
        <v>46276</v>
      </c>
      <c r="P221" s="44">
        <f t="shared" ca="1" si="16"/>
        <v>126</v>
      </c>
      <c r="Q221" s="45">
        <f t="shared" si="17"/>
        <v>31</v>
      </c>
      <c r="R221" s="43">
        <f t="shared" ca="1" si="18"/>
        <v>46276.697382638886</v>
      </c>
      <c r="S221" s="44" t="e">
        <f t="shared" si="19"/>
        <v>#N/A</v>
      </c>
    </row>
    <row r="222" spans="1:19" ht="18.600000000000001" thickBot="1">
      <c r="A222" s="36" t="s">
        <v>367</v>
      </c>
      <c r="B222" s="37">
        <v>45711</v>
      </c>
      <c r="C222" s="38" t="s">
        <v>211</v>
      </c>
      <c r="D222" s="38" t="s">
        <v>212</v>
      </c>
      <c r="E222" s="38" t="s">
        <v>117</v>
      </c>
      <c r="F222" s="38" t="s">
        <v>118</v>
      </c>
      <c r="G222" s="38" t="s">
        <v>19</v>
      </c>
      <c r="H222" s="39">
        <v>5</v>
      </c>
      <c r="I222" s="39">
        <v>89.99</v>
      </c>
      <c r="J222" s="38" t="s">
        <v>34</v>
      </c>
      <c r="K222" s="38" t="s">
        <v>50</v>
      </c>
      <c r="L222" s="38" t="s">
        <v>27</v>
      </c>
      <c r="M222" s="37">
        <v>45140</v>
      </c>
      <c r="N222" s="40">
        <v>449.95</v>
      </c>
      <c r="O222" s="38">
        <f t="shared" ca="1" si="15"/>
        <v>46276</v>
      </c>
      <c r="P222" s="44">
        <f t="shared" ca="1" si="16"/>
        <v>126</v>
      </c>
      <c r="Q222" s="45">
        <f t="shared" si="17"/>
        <v>31</v>
      </c>
      <c r="R222" s="43">
        <f t="shared" ca="1" si="18"/>
        <v>46276.697382638886</v>
      </c>
      <c r="S222" s="44" t="e">
        <f t="shared" si="19"/>
        <v>#N/A</v>
      </c>
    </row>
    <row r="223" spans="1:19" ht="18.600000000000001" thickBot="1">
      <c r="A223" s="36" t="s">
        <v>368</v>
      </c>
      <c r="B223" s="37">
        <v>45712</v>
      </c>
      <c r="C223" s="38" t="s">
        <v>138</v>
      </c>
      <c r="D223" s="38" t="s">
        <v>139</v>
      </c>
      <c r="E223" s="38" t="s">
        <v>126</v>
      </c>
      <c r="F223" s="38" t="s">
        <v>127</v>
      </c>
      <c r="G223" s="38" t="s">
        <v>46</v>
      </c>
      <c r="H223" s="39">
        <v>2</v>
      </c>
      <c r="I223" s="39">
        <v>199.99</v>
      </c>
      <c r="J223" s="38" t="s">
        <v>20</v>
      </c>
      <c r="K223" s="38" t="s">
        <v>21</v>
      </c>
      <c r="L223" s="38" t="s">
        <v>27</v>
      </c>
      <c r="M223" s="37">
        <v>44573</v>
      </c>
      <c r="N223" s="40">
        <v>399.98</v>
      </c>
      <c r="O223" s="38">
        <f t="shared" ca="1" si="15"/>
        <v>46276</v>
      </c>
      <c r="P223" s="44">
        <f t="shared" ca="1" si="16"/>
        <v>126</v>
      </c>
      <c r="Q223" s="45">
        <f t="shared" si="17"/>
        <v>31</v>
      </c>
      <c r="R223" s="43">
        <f t="shared" ca="1" si="18"/>
        <v>46276.697382638886</v>
      </c>
      <c r="S223" s="44" t="e">
        <f t="shared" si="19"/>
        <v>#N/A</v>
      </c>
    </row>
    <row r="224" spans="1:19" ht="18.600000000000001" thickBot="1">
      <c r="A224" s="36" t="s">
        <v>369</v>
      </c>
      <c r="B224" s="37">
        <v>45715</v>
      </c>
      <c r="C224" s="38" t="s">
        <v>259</v>
      </c>
      <c r="D224" s="38" t="s">
        <v>260</v>
      </c>
      <c r="E224" s="38" t="s">
        <v>31</v>
      </c>
      <c r="F224" s="38" t="s">
        <v>32</v>
      </c>
      <c r="G224" s="38" t="s">
        <v>33</v>
      </c>
      <c r="H224" s="39">
        <v>4</v>
      </c>
      <c r="I224" s="39">
        <v>59.99</v>
      </c>
      <c r="J224" s="38" t="s">
        <v>20</v>
      </c>
      <c r="K224" s="38" t="s">
        <v>50</v>
      </c>
      <c r="L224" s="38" t="s">
        <v>36</v>
      </c>
      <c r="M224" s="37">
        <v>45070</v>
      </c>
      <c r="N224" s="40">
        <v>239.96</v>
      </c>
      <c r="O224" s="38">
        <f t="shared" ca="1" si="15"/>
        <v>46276</v>
      </c>
      <c r="P224" s="44">
        <f t="shared" ca="1" si="16"/>
        <v>126</v>
      </c>
      <c r="Q224" s="45">
        <f t="shared" si="17"/>
        <v>31</v>
      </c>
      <c r="R224" s="43">
        <f t="shared" ca="1" si="18"/>
        <v>46276.697382638886</v>
      </c>
      <c r="S224" s="44" t="e">
        <f t="shared" si="19"/>
        <v>#N/A</v>
      </c>
    </row>
    <row r="225" spans="1:19" ht="18.600000000000001" thickBot="1">
      <c r="A225" s="36" t="s">
        <v>370</v>
      </c>
      <c r="B225" s="37">
        <v>45715</v>
      </c>
      <c r="C225" s="38" t="s">
        <v>93</v>
      </c>
      <c r="D225" s="38" t="s">
        <v>94</v>
      </c>
      <c r="E225" s="38" t="s">
        <v>105</v>
      </c>
      <c r="F225" s="38" t="s">
        <v>106</v>
      </c>
      <c r="G225" s="38" t="s">
        <v>46</v>
      </c>
      <c r="H225" s="39">
        <v>2</v>
      </c>
      <c r="I225" s="39">
        <v>299.99</v>
      </c>
      <c r="J225" s="38" t="s">
        <v>34</v>
      </c>
      <c r="K225" s="38" t="s">
        <v>35</v>
      </c>
      <c r="L225" s="38" t="s">
        <v>22</v>
      </c>
      <c r="M225" s="37">
        <v>44576</v>
      </c>
      <c r="N225" s="40">
        <v>599.98</v>
      </c>
      <c r="O225" s="38">
        <f t="shared" ca="1" si="15"/>
        <v>46276</v>
      </c>
      <c r="P225" s="44">
        <f t="shared" ca="1" si="16"/>
        <v>126</v>
      </c>
      <c r="Q225" s="45">
        <f t="shared" si="17"/>
        <v>31</v>
      </c>
      <c r="R225" s="43">
        <f t="shared" ca="1" si="18"/>
        <v>46276.697382638886</v>
      </c>
      <c r="S225" s="44" t="e">
        <f t="shared" si="19"/>
        <v>#N/A</v>
      </c>
    </row>
    <row r="226" spans="1:19" ht="18.600000000000001" thickBot="1">
      <c r="A226" s="36" t="s">
        <v>371</v>
      </c>
      <c r="B226" s="37">
        <v>45718</v>
      </c>
      <c r="C226" s="38" t="s">
        <v>55</v>
      </c>
      <c r="D226" s="38" t="s">
        <v>56</v>
      </c>
      <c r="E226" s="38" t="s">
        <v>44</v>
      </c>
      <c r="F226" s="38" t="s">
        <v>45</v>
      </c>
      <c r="G226" s="38" t="s">
        <v>46</v>
      </c>
      <c r="H226" s="39">
        <v>2</v>
      </c>
      <c r="I226" s="39">
        <v>149.99</v>
      </c>
      <c r="J226" s="38" t="s">
        <v>20</v>
      </c>
      <c r="K226" s="38" t="s">
        <v>21</v>
      </c>
      <c r="L226" s="38" t="s">
        <v>22</v>
      </c>
      <c r="M226" s="37">
        <v>45068</v>
      </c>
      <c r="N226" s="40">
        <v>299.98</v>
      </c>
      <c r="O226" s="38">
        <f t="shared" ca="1" si="15"/>
        <v>46276</v>
      </c>
      <c r="P226" s="44">
        <f t="shared" ca="1" si="16"/>
        <v>126</v>
      </c>
      <c r="Q226" s="45">
        <f t="shared" si="17"/>
        <v>31</v>
      </c>
      <c r="R226" s="43">
        <f t="shared" ca="1" si="18"/>
        <v>46276.697382638886</v>
      </c>
      <c r="S226" s="44" t="e">
        <f t="shared" si="19"/>
        <v>#N/A</v>
      </c>
    </row>
    <row r="227" spans="1:19" ht="18.600000000000001" thickBot="1">
      <c r="A227" s="36" t="s">
        <v>372</v>
      </c>
      <c r="B227" s="37">
        <v>45720</v>
      </c>
      <c r="C227" s="38" t="s">
        <v>226</v>
      </c>
      <c r="D227" s="38" t="s">
        <v>227</v>
      </c>
      <c r="E227" s="38" t="s">
        <v>80</v>
      </c>
      <c r="F227" s="38" t="s">
        <v>81</v>
      </c>
      <c r="G227" s="38" t="s">
        <v>19</v>
      </c>
      <c r="H227" s="39">
        <v>5</v>
      </c>
      <c r="I227" s="39">
        <v>699.99</v>
      </c>
      <c r="J227" s="38" t="s">
        <v>57</v>
      </c>
      <c r="K227" s="38" t="s">
        <v>63</v>
      </c>
      <c r="L227" s="38" t="s">
        <v>27</v>
      </c>
      <c r="M227" s="37">
        <v>45161</v>
      </c>
      <c r="N227" s="40">
        <v>3499.95</v>
      </c>
      <c r="O227" s="38">
        <f t="shared" ca="1" si="15"/>
        <v>46276</v>
      </c>
      <c r="P227" s="44">
        <f t="shared" ca="1" si="16"/>
        <v>126</v>
      </c>
      <c r="Q227" s="45">
        <f t="shared" si="17"/>
        <v>31</v>
      </c>
      <c r="R227" s="43">
        <f t="shared" ca="1" si="18"/>
        <v>46276.697382638886</v>
      </c>
      <c r="S227" s="44" t="e">
        <f t="shared" si="19"/>
        <v>#N/A</v>
      </c>
    </row>
    <row r="228" spans="1:19" ht="18.600000000000001" thickBot="1">
      <c r="A228" s="36" t="s">
        <v>373</v>
      </c>
      <c r="B228" s="37">
        <v>45721</v>
      </c>
      <c r="C228" s="38" t="s">
        <v>75</v>
      </c>
      <c r="D228" s="38" t="s">
        <v>76</v>
      </c>
      <c r="E228" s="38" t="s">
        <v>31</v>
      </c>
      <c r="F228" s="38" t="s">
        <v>32</v>
      </c>
      <c r="G228" s="38" t="s">
        <v>33</v>
      </c>
      <c r="H228" s="39">
        <v>5</v>
      </c>
      <c r="I228" s="39">
        <v>59.99</v>
      </c>
      <c r="J228" s="38" t="s">
        <v>20</v>
      </c>
      <c r="K228" s="38" t="s">
        <v>50</v>
      </c>
      <c r="L228" s="38" t="s">
        <v>27</v>
      </c>
      <c r="M228" s="37">
        <v>45291</v>
      </c>
      <c r="N228" s="40">
        <v>299.95</v>
      </c>
      <c r="O228" s="38">
        <f t="shared" ca="1" si="15"/>
        <v>46276</v>
      </c>
      <c r="P228" s="44">
        <f t="shared" ca="1" si="16"/>
        <v>126</v>
      </c>
      <c r="Q228" s="45">
        <f t="shared" si="17"/>
        <v>31</v>
      </c>
      <c r="R228" s="43">
        <f t="shared" ca="1" si="18"/>
        <v>46276.697382638886</v>
      </c>
      <c r="S228" s="44" t="e">
        <f t="shared" si="19"/>
        <v>#N/A</v>
      </c>
    </row>
    <row r="229" spans="1:19" ht="18.600000000000001" thickBot="1">
      <c r="A229" s="36" t="s">
        <v>374</v>
      </c>
      <c r="B229" s="37">
        <v>45723</v>
      </c>
      <c r="C229" s="38" t="s">
        <v>15</v>
      </c>
      <c r="D229" s="38" t="s">
        <v>16</v>
      </c>
      <c r="E229" s="38" t="s">
        <v>117</v>
      </c>
      <c r="F229" s="38" t="s">
        <v>118</v>
      </c>
      <c r="G229" s="38" t="s">
        <v>19</v>
      </c>
      <c r="H229" s="39">
        <v>2</v>
      </c>
      <c r="I229" s="39">
        <v>89.99</v>
      </c>
      <c r="J229" s="38" t="s">
        <v>26</v>
      </c>
      <c r="K229" s="38" t="s">
        <v>50</v>
      </c>
      <c r="L229" s="38" t="s">
        <v>27</v>
      </c>
      <c r="M229" s="37">
        <v>45295</v>
      </c>
      <c r="N229" s="40">
        <v>179.98</v>
      </c>
      <c r="O229" s="38">
        <f t="shared" ca="1" si="15"/>
        <v>46276</v>
      </c>
      <c r="P229" s="44">
        <f t="shared" ca="1" si="16"/>
        <v>126</v>
      </c>
      <c r="Q229" s="45">
        <f t="shared" si="17"/>
        <v>31</v>
      </c>
      <c r="R229" s="43">
        <f t="shared" ca="1" si="18"/>
        <v>46276.697382638886</v>
      </c>
      <c r="S229" s="44" t="e">
        <f t="shared" si="19"/>
        <v>#N/A</v>
      </c>
    </row>
    <row r="230" spans="1:19" ht="18.600000000000001" thickBot="1">
      <c r="A230" s="36" t="s">
        <v>375</v>
      </c>
      <c r="B230" s="37">
        <v>45723</v>
      </c>
      <c r="C230" s="38" t="s">
        <v>120</v>
      </c>
      <c r="D230" s="38" t="s">
        <v>121</v>
      </c>
      <c r="E230" s="38" t="s">
        <v>17</v>
      </c>
      <c r="F230" s="38" t="s">
        <v>18</v>
      </c>
      <c r="G230" s="38" t="s">
        <v>19</v>
      </c>
      <c r="H230" s="39">
        <v>5</v>
      </c>
      <c r="I230" s="39">
        <v>249.99</v>
      </c>
      <c r="J230" s="38" t="s">
        <v>20</v>
      </c>
      <c r="K230" s="38" t="s">
        <v>63</v>
      </c>
      <c r="L230" s="38" t="s">
        <v>36</v>
      </c>
      <c r="M230" s="37">
        <v>44540</v>
      </c>
      <c r="N230" s="40">
        <v>1249.95</v>
      </c>
      <c r="O230" s="38">
        <f t="shared" ca="1" si="15"/>
        <v>46276</v>
      </c>
      <c r="P230" s="44">
        <f t="shared" ca="1" si="16"/>
        <v>126</v>
      </c>
      <c r="Q230" s="45">
        <f t="shared" si="17"/>
        <v>31</v>
      </c>
      <c r="R230" s="43">
        <f t="shared" ca="1" si="18"/>
        <v>46276.697382638886</v>
      </c>
      <c r="S230" s="44" t="e">
        <f t="shared" si="19"/>
        <v>#N/A</v>
      </c>
    </row>
    <row r="231" spans="1:19" ht="18.600000000000001" thickBot="1">
      <c r="A231" s="36" t="s">
        <v>376</v>
      </c>
      <c r="B231" s="37">
        <v>45724</v>
      </c>
      <c r="C231" s="38" t="s">
        <v>226</v>
      </c>
      <c r="D231" s="38" t="s">
        <v>227</v>
      </c>
      <c r="E231" s="38" t="s">
        <v>44</v>
      </c>
      <c r="F231" s="38" t="s">
        <v>45</v>
      </c>
      <c r="G231" s="38" t="s">
        <v>46</v>
      </c>
      <c r="H231" s="39">
        <v>2</v>
      </c>
      <c r="I231" s="39">
        <v>149.99</v>
      </c>
      <c r="J231" s="38" t="s">
        <v>34</v>
      </c>
      <c r="K231" s="38" t="s">
        <v>21</v>
      </c>
      <c r="L231" s="38" t="s">
        <v>27</v>
      </c>
      <c r="M231" s="37">
        <v>44632</v>
      </c>
      <c r="N231" s="40">
        <v>299.98</v>
      </c>
      <c r="O231" s="38">
        <f t="shared" ca="1" si="15"/>
        <v>46276</v>
      </c>
      <c r="P231" s="44">
        <f t="shared" ca="1" si="16"/>
        <v>126</v>
      </c>
      <c r="Q231" s="45">
        <f t="shared" si="17"/>
        <v>31</v>
      </c>
      <c r="R231" s="43">
        <f t="shared" ca="1" si="18"/>
        <v>46276.697382638886</v>
      </c>
      <c r="S231" s="44" t="e">
        <f t="shared" si="19"/>
        <v>#N/A</v>
      </c>
    </row>
    <row r="232" spans="1:19" ht="18.600000000000001" thickBot="1">
      <c r="A232" s="36" t="s">
        <v>377</v>
      </c>
      <c r="B232" s="37">
        <v>45724</v>
      </c>
      <c r="C232" s="38" t="s">
        <v>144</v>
      </c>
      <c r="D232" s="38" t="s">
        <v>145</v>
      </c>
      <c r="E232" s="38" t="s">
        <v>61</v>
      </c>
      <c r="F232" s="38" t="s">
        <v>62</v>
      </c>
      <c r="G232" s="38" t="s">
        <v>19</v>
      </c>
      <c r="H232" s="39">
        <v>5</v>
      </c>
      <c r="I232" s="39">
        <v>899.99</v>
      </c>
      <c r="J232" s="38" t="s">
        <v>34</v>
      </c>
      <c r="K232" s="38" t="s">
        <v>63</v>
      </c>
      <c r="L232" s="38" t="s">
        <v>27</v>
      </c>
      <c r="M232" s="37">
        <v>45389</v>
      </c>
      <c r="N232" s="40">
        <v>4499.95</v>
      </c>
      <c r="O232" s="38">
        <f t="shared" ca="1" si="15"/>
        <v>46276</v>
      </c>
      <c r="P232" s="44">
        <f t="shared" ca="1" si="16"/>
        <v>126</v>
      </c>
      <c r="Q232" s="45">
        <f t="shared" si="17"/>
        <v>31</v>
      </c>
      <c r="R232" s="43">
        <f t="shared" ca="1" si="18"/>
        <v>46276.697382638886</v>
      </c>
      <c r="S232" s="44" t="e">
        <f t="shared" si="19"/>
        <v>#N/A</v>
      </c>
    </row>
    <row r="233" spans="1:19" ht="18.600000000000001" thickBot="1">
      <c r="A233" s="36" t="s">
        <v>378</v>
      </c>
      <c r="B233" s="37">
        <v>45724</v>
      </c>
      <c r="C233" s="38" t="s">
        <v>55</v>
      </c>
      <c r="D233" s="38" t="s">
        <v>56</v>
      </c>
      <c r="E233" s="38" t="s">
        <v>44</v>
      </c>
      <c r="F233" s="38" t="s">
        <v>45</v>
      </c>
      <c r="G233" s="38" t="s">
        <v>46</v>
      </c>
      <c r="H233" s="39">
        <v>4</v>
      </c>
      <c r="I233" s="39">
        <v>149.99</v>
      </c>
      <c r="J233" s="38" t="s">
        <v>20</v>
      </c>
      <c r="K233" s="38" t="s">
        <v>21</v>
      </c>
      <c r="L233" s="38" t="s">
        <v>36</v>
      </c>
      <c r="M233" s="37">
        <v>45263</v>
      </c>
      <c r="N233" s="40">
        <v>599.96</v>
      </c>
      <c r="O233" s="38">
        <f t="shared" ca="1" si="15"/>
        <v>46276</v>
      </c>
      <c r="P233" s="44">
        <f t="shared" ca="1" si="16"/>
        <v>126</v>
      </c>
      <c r="Q233" s="45">
        <f t="shared" si="17"/>
        <v>31</v>
      </c>
      <c r="R233" s="43">
        <f t="shared" ca="1" si="18"/>
        <v>46276.697382638886</v>
      </c>
      <c r="S233" s="44" t="e">
        <f t="shared" si="19"/>
        <v>#N/A</v>
      </c>
    </row>
    <row r="234" spans="1:19" ht="18.600000000000001" thickBot="1">
      <c r="A234" s="36" t="s">
        <v>379</v>
      </c>
      <c r="B234" s="37">
        <v>45726</v>
      </c>
      <c r="C234" s="38" t="s">
        <v>144</v>
      </c>
      <c r="D234" s="38" t="s">
        <v>145</v>
      </c>
      <c r="E234" s="38" t="s">
        <v>17</v>
      </c>
      <c r="F234" s="38" t="s">
        <v>18</v>
      </c>
      <c r="G234" s="38" t="s">
        <v>19</v>
      </c>
      <c r="H234" s="39">
        <v>1</v>
      </c>
      <c r="I234" s="39">
        <v>249.99</v>
      </c>
      <c r="J234" s="38" t="s">
        <v>20</v>
      </c>
      <c r="K234" s="38" t="s">
        <v>40</v>
      </c>
      <c r="L234" s="38" t="s">
        <v>36</v>
      </c>
      <c r="M234" s="37">
        <v>45117</v>
      </c>
      <c r="N234" s="40">
        <v>249.99</v>
      </c>
      <c r="O234" s="38">
        <f t="shared" ca="1" si="15"/>
        <v>46276</v>
      </c>
      <c r="P234" s="44">
        <f t="shared" ca="1" si="16"/>
        <v>126</v>
      </c>
      <c r="Q234" s="45">
        <f t="shared" si="17"/>
        <v>31</v>
      </c>
      <c r="R234" s="43">
        <f t="shared" ca="1" si="18"/>
        <v>46276.697382638886</v>
      </c>
      <c r="S234" s="44" t="e">
        <f t="shared" si="19"/>
        <v>#N/A</v>
      </c>
    </row>
    <row r="235" spans="1:19" ht="18.600000000000001" thickBot="1">
      <c r="A235" s="36" t="s">
        <v>380</v>
      </c>
      <c r="B235" s="37">
        <v>45734</v>
      </c>
      <c r="C235" s="38" t="s">
        <v>192</v>
      </c>
      <c r="D235" s="38" t="s">
        <v>193</v>
      </c>
      <c r="E235" s="38" t="s">
        <v>31</v>
      </c>
      <c r="F235" s="38" t="s">
        <v>32</v>
      </c>
      <c r="G235" s="38" t="s">
        <v>33</v>
      </c>
      <c r="H235" s="39">
        <v>2</v>
      </c>
      <c r="I235" s="39">
        <v>59.99</v>
      </c>
      <c r="J235" s="38" t="s">
        <v>26</v>
      </c>
      <c r="K235" s="38" t="s">
        <v>50</v>
      </c>
      <c r="L235" s="38" t="s">
        <v>22</v>
      </c>
      <c r="M235" s="37">
        <v>45193</v>
      </c>
      <c r="N235" s="40">
        <v>119.98</v>
      </c>
      <c r="O235" s="38">
        <f t="shared" ca="1" si="15"/>
        <v>46276</v>
      </c>
      <c r="P235" s="44">
        <f t="shared" ca="1" si="16"/>
        <v>126</v>
      </c>
      <c r="Q235" s="45">
        <f t="shared" si="17"/>
        <v>31</v>
      </c>
      <c r="R235" s="43">
        <f t="shared" ca="1" si="18"/>
        <v>46276.697382638886</v>
      </c>
      <c r="S235" s="44" t="e">
        <f t="shared" si="19"/>
        <v>#N/A</v>
      </c>
    </row>
    <row r="236" spans="1:19" ht="18.600000000000001" thickBot="1">
      <c r="A236" s="36" t="s">
        <v>381</v>
      </c>
      <c r="B236" s="37">
        <v>45737</v>
      </c>
      <c r="C236" s="38" t="s">
        <v>132</v>
      </c>
      <c r="D236" s="38" t="s">
        <v>133</v>
      </c>
      <c r="E236" s="38" t="s">
        <v>44</v>
      </c>
      <c r="F236" s="38" t="s">
        <v>45</v>
      </c>
      <c r="G236" s="38" t="s">
        <v>46</v>
      </c>
      <c r="H236" s="39">
        <v>2</v>
      </c>
      <c r="I236" s="39">
        <v>149.99</v>
      </c>
      <c r="J236" s="38" t="s">
        <v>20</v>
      </c>
      <c r="K236" s="38" t="s">
        <v>50</v>
      </c>
      <c r="L236" s="38" t="s">
        <v>27</v>
      </c>
      <c r="M236" s="37">
        <v>45233</v>
      </c>
      <c r="N236" s="40">
        <v>299.98</v>
      </c>
      <c r="O236" s="38">
        <f t="shared" ca="1" si="15"/>
        <v>46276</v>
      </c>
      <c r="P236" s="44">
        <f t="shared" ca="1" si="16"/>
        <v>126</v>
      </c>
      <c r="Q236" s="45">
        <f t="shared" si="17"/>
        <v>31</v>
      </c>
      <c r="R236" s="43">
        <f t="shared" ca="1" si="18"/>
        <v>46276.697382638886</v>
      </c>
      <c r="S236" s="44" t="e">
        <f t="shared" si="19"/>
        <v>#N/A</v>
      </c>
    </row>
    <row r="237" spans="1:19" ht="18.600000000000001" thickBot="1">
      <c r="A237" s="36" t="s">
        <v>382</v>
      </c>
      <c r="B237" s="37">
        <v>45737</v>
      </c>
      <c r="C237" s="38" t="s">
        <v>150</v>
      </c>
      <c r="D237" s="38" t="s">
        <v>151</v>
      </c>
      <c r="E237" s="38" t="s">
        <v>61</v>
      </c>
      <c r="F237" s="38" t="s">
        <v>62</v>
      </c>
      <c r="G237" s="38" t="s">
        <v>19</v>
      </c>
      <c r="H237" s="39">
        <v>3</v>
      </c>
      <c r="I237" s="39">
        <v>899.99</v>
      </c>
      <c r="J237" s="38" t="s">
        <v>57</v>
      </c>
      <c r="K237" s="38" t="s">
        <v>40</v>
      </c>
      <c r="L237" s="38" t="s">
        <v>27</v>
      </c>
      <c r="M237" s="37">
        <v>44876</v>
      </c>
      <c r="N237" s="40">
        <v>2699.97</v>
      </c>
      <c r="O237" s="38">
        <f t="shared" ca="1" si="15"/>
        <v>46276</v>
      </c>
      <c r="P237" s="44">
        <f t="shared" ca="1" si="16"/>
        <v>126</v>
      </c>
      <c r="Q237" s="45">
        <f t="shared" si="17"/>
        <v>31</v>
      </c>
      <c r="R237" s="43">
        <f t="shared" ca="1" si="18"/>
        <v>46276.697382638886</v>
      </c>
      <c r="S237" s="44" t="e">
        <f t="shared" si="19"/>
        <v>#N/A</v>
      </c>
    </row>
    <row r="238" spans="1:19" ht="18.600000000000001" thickBot="1">
      <c r="A238" s="36" t="s">
        <v>383</v>
      </c>
      <c r="B238" s="37">
        <v>45737</v>
      </c>
      <c r="C238" s="38" t="s">
        <v>48</v>
      </c>
      <c r="D238" s="38" t="s">
        <v>49</v>
      </c>
      <c r="E238" s="38" t="s">
        <v>61</v>
      </c>
      <c r="F238" s="38" t="s">
        <v>62</v>
      </c>
      <c r="G238" s="38" t="s">
        <v>19</v>
      </c>
      <c r="H238" s="39">
        <v>3</v>
      </c>
      <c r="I238" s="39">
        <v>899.99</v>
      </c>
      <c r="J238" s="38" t="s">
        <v>34</v>
      </c>
      <c r="K238" s="38" t="s">
        <v>40</v>
      </c>
      <c r="L238" s="38" t="s">
        <v>22</v>
      </c>
      <c r="M238" s="37">
        <v>44975</v>
      </c>
      <c r="N238" s="40">
        <v>2699.97</v>
      </c>
      <c r="O238" s="38">
        <f t="shared" ca="1" si="15"/>
        <v>46276</v>
      </c>
      <c r="P238" s="44">
        <f t="shared" ca="1" si="16"/>
        <v>126</v>
      </c>
      <c r="Q238" s="45">
        <f t="shared" si="17"/>
        <v>31</v>
      </c>
      <c r="R238" s="43">
        <f t="shared" ca="1" si="18"/>
        <v>46276.697382638886</v>
      </c>
      <c r="S238" s="44" t="e">
        <f t="shared" si="19"/>
        <v>#N/A</v>
      </c>
    </row>
    <row r="239" spans="1:19" ht="18.600000000000001" thickBot="1">
      <c r="A239" s="36" t="s">
        <v>384</v>
      </c>
      <c r="B239" s="37">
        <v>45739</v>
      </c>
      <c r="C239" s="38" t="s">
        <v>15</v>
      </c>
      <c r="D239" s="38" t="s">
        <v>16</v>
      </c>
      <c r="E239" s="38" t="s">
        <v>105</v>
      </c>
      <c r="F239" s="38" t="s">
        <v>106</v>
      </c>
      <c r="G239" s="38" t="s">
        <v>46</v>
      </c>
      <c r="H239" s="39">
        <v>3</v>
      </c>
      <c r="I239" s="39">
        <v>299.99</v>
      </c>
      <c r="J239" s="38" t="s">
        <v>26</v>
      </c>
      <c r="K239" s="38" t="s">
        <v>50</v>
      </c>
      <c r="L239" s="38" t="s">
        <v>27</v>
      </c>
      <c r="M239" s="37">
        <v>45234</v>
      </c>
      <c r="N239" s="40">
        <v>899.97</v>
      </c>
      <c r="O239" s="38">
        <f t="shared" ca="1" si="15"/>
        <v>46276</v>
      </c>
      <c r="P239" s="44">
        <f t="shared" ca="1" si="16"/>
        <v>126</v>
      </c>
      <c r="Q239" s="45">
        <f t="shared" si="17"/>
        <v>31</v>
      </c>
      <c r="R239" s="43">
        <f t="shared" ca="1" si="18"/>
        <v>46276.697382638886</v>
      </c>
      <c r="S239" s="44" t="e">
        <f t="shared" si="19"/>
        <v>#N/A</v>
      </c>
    </row>
    <row r="240" spans="1:19" ht="18.600000000000001" thickBot="1">
      <c r="A240" s="36" t="s">
        <v>385</v>
      </c>
      <c r="B240" s="37">
        <v>45740</v>
      </c>
      <c r="C240" s="38" t="s">
        <v>386</v>
      </c>
      <c r="D240" s="38" t="s">
        <v>387</v>
      </c>
      <c r="E240" s="38" t="s">
        <v>44</v>
      </c>
      <c r="F240" s="38" t="s">
        <v>45</v>
      </c>
      <c r="G240" s="38" t="s">
        <v>46</v>
      </c>
      <c r="H240" s="39">
        <v>4</v>
      </c>
      <c r="I240" s="39">
        <v>149.99</v>
      </c>
      <c r="J240" s="38" t="s">
        <v>34</v>
      </c>
      <c r="K240" s="38" t="s">
        <v>50</v>
      </c>
      <c r="L240" s="38" t="s">
        <v>36</v>
      </c>
      <c r="M240" s="37">
        <v>44560</v>
      </c>
      <c r="N240" s="40">
        <v>599.96</v>
      </c>
      <c r="O240" s="38">
        <f t="shared" ca="1" si="15"/>
        <v>46276</v>
      </c>
      <c r="P240" s="44">
        <f t="shared" ca="1" si="16"/>
        <v>126</v>
      </c>
      <c r="Q240" s="45">
        <f t="shared" si="17"/>
        <v>31</v>
      </c>
      <c r="R240" s="43">
        <f t="shared" ca="1" si="18"/>
        <v>46276.697382638886</v>
      </c>
      <c r="S240" s="44" t="e">
        <f t="shared" si="19"/>
        <v>#N/A</v>
      </c>
    </row>
    <row r="241" spans="1:19" ht="18.600000000000001" thickBot="1">
      <c r="A241" s="36" t="s">
        <v>388</v>
      </c>
      <c r="B241" s="37">
        <v>45743</v>
      </c>
      <c r="C241" s="38" t="s">
        <v>102</v>
      </c>
      <c r="D241" s="38" t="s">
        <v>103</v>
      </c>
      <c r="E241" s="38" t="s">
        <v>114</v>
      </c>
      <c r="F241" s="38" t="s">
        <v>115</v>
      </c>
      <c r="G241" s="38" t="s">
        <v>33</v>
      </c>
      <c r="H241" s="39">
        <v>4</v>
      </c>
      <c r="I241" s="39">
        <v>79.989999999999995</v>
      </c>
      <c r="J241" s="38" t="s">
        <v>26</v>
      </c>
      <c r="K241" s="38" t="s">
        <v>21</v>
      </c>
      <c r="L241" s="38" t="s">
        <v>22</v>
      </c>
      <c r="M241" s="37">
        <v>45288</v>
      </c>
      <c r="N241" s="40">
        <v>319.95999999999998</v>
      </c>
      <c r="O241" s="38">
        <f t="shared" ca="1" si="15"/>
        <v>46276</v>
      </c>
      <c r="P241" s="44">
        <f t="shared" ca="1" si="16"/>
        <v>126</v>
      </c>
      <c r="Q241" s="45">
        <f t="shared" si="17"/>
        <v>31</v>
      </c>
      <c r="R241" s="43">
        <f t="shared" ca="1" si="18"/>
        <v>46276.697382638886</v>
      </c>
      <c r="S241" s="44" t="e">
        <f t="shared" si="19"/>
        <v>#N/A</v>
      </c>
    </row>
    <row r="242" spans="1:19" ht="18.600000000000001" thickBot="1">
      <c r="A242" s="36" t="s">
        <v>389</v>
      </c>
      <c r="B242" s="37">
        <v>45745</v>
      </c>
      <c r="C242" s="38" t="s">
        <v>185</v>
      </c>
      <c r="D242" s="38" t="s">
        <v>186</v>
      </c>
      <c r="E242" s="38" t="s">
        <v>117</v>
      </c>
      <c r="F242" s="38" t="s">
        <v>118</v>
      </c>
      <c r="G242" s="38" t="s">
        <v>19</v>
      </c>
      <c r="H242" s="39">
        <v>5</v>
      </c>
      <c r="I242" s="39">
        <v>89.99</v>
      </c>
      <c r="J242" s="38" t="s">
        <v>34</v>
      </c>
      <c r="K242" s="38" t="s">
        <v>35</v>
      </c>
      <c r="L242" s="38" t="s">
        <v>22</v>
      </c>
      <c r="M242" s="37">
        <v>44704</v>
      </c>
      <c r="N242" s="40">
        <v>449.95</v>
      </c>
      <c r="O242" s="38">
        <f t="shared" ca="1" si="15"/>
        <v>46276</v>
      </c>
      <c r="P242" s="44">
        <f t="shared" ca="1" si="16"/>
        <v>126</v>
      </c>
      <c r="Q242" s="45">
        <f t="shared" si="17"/>
        <v>31</v>
      </c>
      <c r="R242" s="43">
        <f t="shared" ca="1" si="18"/>
        <v>46276.697382638886</v>
      </c>
      <c r="S242" s="44" t="e">
        <f t="shared" si="19"/>
        <v>#N/A</v>
      </c>
    </row>
    <row r="243" spans="1:19" ht="18.600000000000001" thickBot="1">
      <c r="A243" s="36" t="s">
        <v>390</v>
      </c>
      <c r="B243" s="37">
        <v>45746</v>
      </c>
      <c r="C243" s="38" t="s">
        <v>93</v>
      </c>
      <c r="D243" s="38" t="s">
        <v>94</v>
      </c>
      <c r="E243" s="38" t="s">
        <v>44</v>
      </c>
      <c r="F243" s="38" t="s">
        <v>45</v>
      </c>
      <c r="G243" s="38" t="s">
        <v>46</v>
      </c>
      <c r="H243" s="39">
        <v>3</v>
      </c>
      <c r="I243" s="39">
        <v>149.99</v>
      </c>
      <c r="J243" s="38" t="s">
        <v>34</v>
      </c>
      <c r="K243" s="38" t="s">
        <v>21</v>
      </c>
      <c r="L243" s="38" t="s">
        <v>36</v>
      </c>
      <c r="M243" s="37">
        <v>45171</v>
      </c>
      <c r="N243" s="40">
        <v>449.97</v>
      </c>
      <c r="O243" s="38">
        <f t="shared" ca="1" si="15"/>
        <v>46276</v>
      </c>
      <c r="P243" s="44">
        <f t="shared" ca="1" si="16"/>
        <v>126</v>
      </c>
      <c r="Q243" s="45">
        <f t="shared" si="17"/>
        <v>31</v>
      </c>
      <c r="R243" s="43">
        <f t="shared" ca="1" si="18"/>
        <v>46276.697382638886</v>
      </c>
      <c r="S243" s="44" t="e">
        <f t="shared" si="19"/>
        <v>#N/A</v>
      </c>
    </row>
    <row r="244" spans="1:19" ht="18.600000000000001" thickBot="1">
      <c r="A244" s="36" t="s">
        <v>391</v>
      </c>
      <c r="B244" s="37">
        <v>45746</v>
      </c>
      <c r="C244" s="38" t="s">
        <v>65</v>
      </c>
      <c r="D244" s="38" t="s">
        <v>66</v>
      </c>
      <c r="E244" s="38" t="s">
        <v>117</v>
      </c>
      <c r="F244" s="38" t="s">
        <v>118</v>
      </c>
      <c r="G244" s="38" t="s">
        <v>19</v>
      </c>
      <c r="H244" s="39">
        <v>2</v>
      </c>
      <c r="I244" s="39">
        <v>89.99</v>
      </c>
      <c r="J244" s="38" t="s">
        <v>57</v>
      </c>
      <c r="K244" s="38" t="s">
        <v>50</v>
      </c>
      <c r="L244" s="38" t="s">
        <v>27</v>
      </c>
      <c r="M244" s="37">
        <v>44522</v>
      </c>
      <c r="N244" s="40">
        <v>179.98</v>
      </c>
      <c r="O244" s="38">
        <f t="shared" ca="1" si="15"/>
        <v>46276</v>
      </c>
      <c r="P244" s="44">
        <f t="shared" ca="1" si="16"/>
        <v>126</v>
      </c>
      <c r="Q244" s="45">
        <f t="shared" si="17"/>
        <v>31</v>
      </c>
      <c r="R244" s="43">
        <f t="shared" ca="1" si="18"/>
        <v>46276.697382638886</v>
      </c>
      <c r="S244" s="44" t="e">
        <f t="shared" si="19"/>
        <v>#N/A</v>
      </c>
    </row>
    <row r="245" spans="1:19" ht="18.600000000000001" thickBot="1">
      <c r="A245" s="36" t="s">
        <v>392</v>
      </c>
      <c r="B245" s="37">
        <v>45748</v>
      </c>
      <c r="C245" s="38" t="s">
        <v>102</v>
      </c>
      <c r="D245" s="38" t="s">
        <v>103</v>
      </c>
      <c r="E245" s="38" t="s">
        <v>80</v>
      </c>
      <c r="F245" s="38" t="s">
        <v>81</v>
      </c>
      <c r="G245" s="38" t="s">
        <v>19</v>
      </c>
      <c r="H245" s="39">
        <v>2</v>
      </c>
      <c r="I245" s="39">
        <v>699.99</v>
      </c>
      <c r="J245" s="38" t="s">
        <v>34</v>
      </c>
      <c r="K245" s="38" t="s">
        <v>40</v>
      </c>
      <c r="L245" s="38" t="s">
        <v>36</v>
      </c>
      <c r="M245" s="37">
        <v>44618</v>
      </c>
      <c r="N245" s="40">
        <v>1399.98</v>
      </c>
      <c r="O245" s="38">
        <f t="shared" ca="1" si="15"/>
        <v>46276</v>
      </c>
      <c r="P245" s="44">
        <f t="shared" ca="1" si="16"/>
        <v>126</v>
      </c>
      <c r="Q245" s="45">
        <f t="shared" si="17"/>
        <v>31</v>
      </c>
      <c r="R245" s="43">
        <f t="shared" ca="1" si="18"/>
        <v>46276.697382638886</v>
      </c>
      <c r="S245" s="44" t="e">
        <f t="shared" si="19"/>
        <v>#N/A</v>
      </c>
    </row>
    <row r="246" spans="1:19" ht="18.600000000000001" thickBot="1">
      <c r="A246" s="36" t="s">
        <v>393</v>
      </c>
      <c r="B246" s="37">
        <v>45749</v>
      </c>
      <c r="C246" s="38" t="s">
        <v>123</v>
      </c>
      <c r="D246" s="38" t="s">
        <v>124</v>
      </c>
      <c r="E246" s="38" t="s">
        <v>61</v>
      </c>
      <c r="F246" s="38" t="s">
        <v>62</v>
      </c>
      <c r="G246" s="38" t="s">
        <v>19</v>
      </c>
      <c r="H246" s="39">
        <v>3</v>
      </c>
      <c r="I246" s="39">
        <v>899.99</v>
      </c>
      <c r="J246" s="38" t="s">
        <v>20</v>
      </c>
      <c r="K246" s="38" t="s">
        <v>21</v>
      </c>
      <c r="L246" s="38" t="s">
        <v>36</v>
      </c>
      <c r="M246" s="37">
        <v>44953</v>
      </c>
      <c r="N246" s="40">
        <v>2699.97</v>
      </c>
      <c r="O246" s="38">
        <f t="shared" ca="1" si="15"/>
        <v>46276</v>
      </c>
      <c r="P246" s="44">
        <f t="shared" ca="1" si="16"/>
        <v>126</v>
      </c>
      <c r="Q246" s="45">
        <f t="shared" si="17"/>
        <v>31</v>
      </c>
      <c r="R246" s="43">
        <f t="shared" ca="1" si="18"/>
        <v>46276.697382638886</v>
      </c>
      <c r="S246" s="44" t="e">
        <f t="shared" si="19"/>
        <v>#N/A</v>
      </c>
    </row>
    <row r="247" spans="1:19" ht="18.600000000000001" thickBot="1">
      <c r="A247" s="36" t="s">
        <v>394</v>
      </c>
      <c r="B247" s="37">
        <v>45755</v>
      </c>
      <c r="C247" s="38" t="s">
        <v>93</v>
      </c>
      <c r="D247" s="38" t="s">
        <v>94</v>
      </c>
      <c r="E247" s="38" t="s">
        <v>114</v>
      </c>
      <c r="F247" s="38" t="s">
        <v>115</v>
      </c>
      <c r="G247" s="38" t="s">
        <v>33</v>
      </c>
      <c r="H247" s="39">
        <v>3</v>
      </c>
      <c r="I247" s="39">
        <v>79.989999999999995</v>
      </c>
      <c r="J247" s="38" t="s">
        <v>26</v>
      </c>
      <c r="K247" s="38" t="s">
        <v>40</v>
      </c>
      <c r="L247" s="38" t="s">
        <v>22</v>
      </c>
      <c r="M247" s="37">
        <v>44511</v>
      </c>
      <c r="N247" s="40">
        <v>239.97</v>
      </c>
      <c r="O247" s="38">
        <f t="shared" ca="1" si="15"/>
        <v>46276</v>
      </c>
      <c r="P247" s="44">
        <f t="shared" ca="1" si="16"/>
        <v>126</v>
      </c>
      <c r="Q247" s="45">
        <f t="shared" si="17"/>
        <v>31</v>
      </c>
      <c r="R247" s="43">
        <f t="shared" ca="1" si="18"/>
        <v>46276.697382638886</v>
      </c>
      <c r="S247" s="44" t="e">
        <f t="shared" si="19"/>
        <v>#N/A</v>
      </c>
    </row>
    <row r="248" spans="1:19" ht="18.600000000000001" thickBot="1">
      <c r="A248" s="36" t="s">
        <v>395</v>
      </c>
      <c r="B248" s="37">
        <v>45756</v>
      </c>
      <c r="C248" s="38" t="s">
        <v>59</v>
      </c>
      <c r="D248" s="38" t="s">
        <v>60</v>
      </c>
      <c r="E248" s="38" t="s">
        <v>117</v>
      </c>
      <c r="F248" s="38" t="s">
        <v>118</v>
      </c>
      <c r="G248" s="38" t="s">
        <v>19</v>
      </c>
      <c r="H248" s="39">
        <v>1</v>
      </c>
      <c r="I248" s="39">
        <v>89.99</v>
      </c>
      <c r="J248" s="38" t="s">
        <v>57</v>
      </c>
      <c r="K248" s="38" t="s">
        <v>63</v>
      </c>
      <c r="L248" s="38" t="s">
        <v>22</v>
      </c>
      <c r="M248" s="37">
        <v>45346</v>
      </c>
      <c r="N248" s="40">
        <v>89.99</v>
      </c>
      <c r="O248" s="38">
        <f t="shared" ca="1" si="15"/>
        <v>46276</v>
      </c>
      <c r="P248" s="44">
        <f t="shared" ca="1" si="16"/>
        <v>126</v>
      </c>
      <c r="Q248" s="45">
        <f t="shared" si="17"/>
        <v>31</v>
      </c>
      <c r="R248" s="43">
        <f t="shared" ca="1" si="18"/>
        <v>46276.697382638886</v>
      </c>
      <c r="S248" s="44" t="e">
        <f t="shared" si="19"/>
        <v>#N/A</v>
      </c>
    </row>
    <row r="249" spans="1:19" ht="18.600000000000001" thickBot="1">
      <c r="A249" s="36" t="s">
        <v>396</v>
      </c>
      <c r="B249" s="37">
        <v>45758</v>
      </c>
      <c r="C249" s="38" t="s">
        <v>293</v>
      </c>
      <c r="D249" s="38" t="s">
        <v>294</v>
      </c>
      <c r="E249" s="38" t="s">
        <v>80</v>
      </c>
      <c r="F249" s="38" t="s">
        <v>81</v>
      </c>
      <c r="G249" s="38" t="s">
        <v>19</v>
      </c>
      <c r="H249" s="39">
        <v>3</v>
      </c>
      <c r="I249" s="39">
        <v>699.99</v>
      </c>
      <c r="J249" s="38" t="s">
        <v>34</v>
      </c>
      <c r="K249" s="38" t="s">
        <v>40</v>
      </c>
      <c r="L249" s="38" t="s">
        <v>22</v>
      </c>
      <c r="M249" s="37">
        <v>44909</v>
      </c>
      <c r="N249" s="40">
        <v>2099.9699999999998</v>
      </c>
      <c r="O249" s="38">
        <f t="shared" ca="1" si="15"/>
        <v>46276</v>
      </c>
      <c r="P249" s="44">
        <f t="shared" ca="1" si="16"/>
        <v>126</v>
      </c>
      <c r="Q249" s="45">
        <f t="shared" si="17"/>
        <v>31</v>
      </c>
      <c r="R249" s="43">
        <f t="shared" ca="1" si="18"/>
        <v>46276.697382638886</v>
      </c>
      <c r="S249" s="44" t="e">
        <f t="shared" si="19"/>
        <v>#N/A</v>
      </c>
    </row>
    <row r="250" spans="1:19" ht="18.600000000000001" thickBot="1">
      <c r="A250" s="36" t="s">
        <v>397</v>
      </c>
      <c r="B250" s="37">
        <v>45758</v>
      </c>
      <c r="C250" s="38" t="s">
        <v>226</v>
      </c>
      <c r="D250" s="38" t="s">
        <v>227</v>
      </c>
      <c r="E250" s="38" t="s">
        <v>117</v>
      </c>
      <c r="F250" s="38" t="s">
        <v>118</v>
      </c>
      <c r="G250" s="38" t="s">
        <v>19</v>
      </c>
      <c r="H250" s="39">
        <v>2</v>
      </c>
      <c r="I250" s="39">
        <v>89.99</v>
      </c>
      <c r="J250" s="38" t="s">
        <v>57</v>
      </c>
      <c r="K250" s="38" t="s">
        <v>63</v>
      </c>
      <c r="L250" s="38" t="s">
        <v>22</v>
      </c>
      <c r="M250" s="37">
        <v>45088</v>
      </c>
      <c r="N250" s="40">
        <v>179.98</v>
      </c>
      <c r="O250" s="38">
        <f t="shared" ca="1" si="15"/>
        <v>46276</v>
      </c>
      <c r="P250" s="44">
        <f t="shared" ca="1" si="16"/>
        <v>126</v>
      </c>
      <c r="Q250" s="45">
        <f t="shared" si="17"/>
        <v>31</v>
      </c>
      <c r="R250" s="43">
        <f t="shared" ca="1" si="18"/>
        <v>46276.697382638886</v>
      </c>
      <c r="S250" s="44" t="e">
        <f t="shared" si="19"/>
        <v>#N/A</v>
      </c>
    </row>
    <row r="251" spans="1:19">
      <c r="A251" s="46" t="s">
        <v>398</v>
      </c>
      <c r="B251" s="47">
        <v>45758</v>
      </c>
      <c r="C251" s="48" t="s">
        <v>138</v>
      </c>
      <c r="D251" s="48" t="s">
        <v>139</v>
      </c>
      <c r="E251" s="48" t="s">
        <v>117</v>
      </c>
      <c r="F251" s="48" t="s">
        <v>118</v>
      </c>
      <c r="G251" s="48" t="s">
        <v>19</v>
      </c>
      <c r="H251" s="49">
        <v>3</v>
      </c>
      <c r="I251" s="49">
        <v>89.99</v>
      </c>
      <c r="J251" s="48" t="s">
        <v>57</v>
      </c>
      <c r="K251" s="48" t="s">
        <v>40</v>
      </c>
      <c r="L251" s="48" t="s">
        <v>27</v>
      </c>
      <c r="M251" s="47">
        <v>44878</v>
      </c>
      <c r="N251" s="50">
        <v>269.97000000000003</v>
      </c>
      <c r="O251" s="48">
        <f t="shared" ca="1" si="15"/>
        <v>46276</v>
      </c>
      <c r="P251" s="44">
        <f t="shared" ca="1" si="16"/>
        <v>126</v>
      </c>
      <c r="Q251" s="45">
        <f t="shared" si="17"/>
        <v>31</v>
      </c>
      <c r="R251" s="43">
        <f t="shared" ca="1" si="18"/>
        <v>46276.697382638886</v>
      </c>
      <c r="S251" s="44" t="e">
        <f t="shared" si="19"/>
        <v>#N/A</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CBD33-BAFA-4178-9917-19EC9FC8AD22}">
  <dimension ref="A1:N109"/>
  <sheetViews>
    <sheetView showGridLines="0" zoomScale="65" zoomScaleNormal="92" workbookViewId="0">
      <selection activeCell="E10" sqref="E10"/>
    </sheetView>
  </sheetViews>
  <sheetFormatPr defaultRowHeight="18"/>
  <cols>
    <col min="1" max="1" width="40" bestFit="1" customWidth="1"/>
    <col min="2" max="2" width="14.6640625" customWidth="1"/>
    <col min="4" max="4" width="20.109375" customWidth="1"/>
    <col min="5" max="5" width="16.77734375" bestFit="1" customWidth="1"/>
    <col min="7" max="7" width="18" bestFit="1" customWidth="1"/>
    <col min="8" max="8" width="11.44140625" customWidth="1"/>
    <col min="9" max="9" width="11.33203125" customWidth="1"/>
    <col min="10" max="10" width="11.5546875" customWidth="1"/>
    <col min="12" max="13" width="13.44140625" customWidth="1"/>
    <col min="14" max="14" width="16.6640625" customWidth="1"/>
  </cols>
  <sheetData>
    <row r="1" spans="1:14" ht="19.2">
      <c r="A1" s="74" t="s">
        <v>399</v>
      </c>
      <c r="B1" s="74"/>
      <c r="C1" s="74"/>
      <c r="D1" s="74"/>
      <c r="E1" s="74"/>
      <c r="F1" s="74"/>
      <c r="G1" s="74"/>
      <c r="H1" s="74"/>
      <c r="I1" s="74"/>
      <c r="J1" s="74"/>
    </row>
    <row r="2" spans="1:14" ht="18.600000000000001" thickBot="1"/>
    <row r="3" spans="1:14" ht="19.2">
      <c r="A3" s="75" t="s">
        <v>400</v>
      </c>
      <c r="B3" s="76"/>
      <c r="D3" s="75" t="s">
        <v>407</v>
      </c>
      <c r="E3" s="76"/>
      <c r="G3" s="81" t="s">
        <v>416</v>
      </c>
      <c r="H3" s="82"/>
      <c r="I3" s="82"/>
      <c r="J3" s="83"/>
    </row>
    <row r="4" spans="1:14">
      <c r="A4" s="23"/>
      <c r="B4" s="24"/>
      <c r="D4" s="23"/>
      <c r="E4" s="24"/>
      <c r="G4" s="23"/>
      <c r="J4" s="24"/>
      <c r="N4" t="str">
        <f>IF(COUNTIF(G:G,F38)&gt;0,F38,"")</f>
        <v/>
      </c>
    </row>
    <row r="5" spans="1:14">
      <c r="A5" s="23" t="s">
        <v>401</v>
      </c>
      <c r="B5" s="24">
        <f>SUM(SalesData[Total_Amount])</f>
        <v>229192.47000000032</v>
      </c>
      <c r="D5" s="23" t="s">
        <v>408</v>
      </c>
      <c r="E5" s="51">
        <f ca="1">TODAY()</f>
        <v>46276</v>
      </c>
      <c r="G5" s="23" t="s">
        <v>417</v>
      </c>
      <c r="H5" t="s">
        <v>418</v>
      </c>
      <c r="I5" t="s">
        <v>419</v>
      </c>
      <c r="J5" s="24" t="s">
        <v>421</v>
      </c>
    </row>
    <row r="6" spans="1:14" ht="18.600000000000001" thickBot="1">
      <c r="A6" s="23" t="s">
        <v>402</v>
      </c>
      <c r="B6" s="24">
        <f>COUNTA(SalesData[Transaction_ID])</f>
        <v>250</v>
      </c>
      <c r="D6" s="25" t="s">
        <v>409</v>
      </c>
      <c r="E6" s="52">
        <f ca="1">NOW()</f>
        <v>46276.697382638886</v>
      </c>
      <c r="G6" s="53" t="s">
        <v>62</v>
      </c>
      <c r="H6">
        <f>SUMIF(SalesData[Product_Name],G6,SalesData[Quantity])</f>
        <v>75</v>
      </c>
      <c r="I6">
        <f>SUMIF(SalesData[Product_Name],G6,SalesData[Total_Amount])</f>
        <v>67499.25</v>
      </c>
      <c r="J6" s="24" t="str">
        <f>IF(I6&gt;=10000,"▲ High",IF(I6&gt;=5000,"► Medium","▼ Low"))</f>
        <v>▲ High</v>
      </c>
    </row>
    <row r="7" spans="1:14">
      <c r="A7" s="23" t="s">
        <v>403</v>
      </c>
      <c r="B7" s="24">
        <f>SUM(SalesData[Quantity])</f>
        <v>753</v>
      </c>
      <c r="G7" s="53" t="s">
        <v>81</v>
      </c>
      <c r="H7">
        <f>SUMIF(SalesData[Product_Name],G7,SalesData[Quantity])</f>
        <v>96</v>
      </c>
      <c r="I7">
        <f>SUMIF(SalesData[Product_Name],G7,SalesData[Total_Amount])</f>
        <v>67199.039999999994</v>
      </c>
      <c r="J7" s="24" t="str">
        <f t="shared" ref="J7:J15" si="0">IF(I7&gt;=10000,"▲ High",IF(I7&gt;=5000,"► Medium","▼ Low"))</f>
        <v>▲ High</v>
      </c>
    </row>
    <row r="8" spans="1:14">
      <c r="A8" s="23" t="s">
        <v>404</v>
      </c>
      <c r="B8" s="24">
        <f>AVERAGE(SalesData[Total_Amount])</f>
        <v>916.76988000000131</v>
      </c>
      <c r="G8" s="53" t="s">
        <v>18</v>
      </c>
      <c r="H8">
        <f>SUMIF(SalesData[Product_Name],G8,SalesData[Quantity])</f>
        <v>88</v>
      </c>
      <c r="I8">
        <f>SUMIF(SalesData[Product_Name],G8,SalesData[Total_Amount])</f>
        <v>21999.119999999999</v>
      </c>
      <c r="J8" s="24" t="str">
        <f t="shared" si="0"/>
        <v>▲ High</v>
      </c>
    </row>
    <row r="9" spans="1:14">
      <c r="A9" s="23" t="s">
        <v>405</v>
      </c>
      <c r="B9" s="24">
        <f>MAX(SalesData[Total_Amount])</f>
        <v>4499.95</v>
      </c>
      <c r="G9" s="53" t="s">
        <v>53</v>
      </c>
      <c r="H9">
        <f>SUMIF(SalesData[Product_Name],G9,SalesData[Quantity])</f>
        <v>47</v>
      </c>
      <c r="I9">
        <f>SUMIF(SalesData[Product_Name],G9,SalesData[Total_Amount])</f>
        <v>7049.5299999999988</v>
      </c>
      <c r="J9" s="24" t="str">
        <f t="shared" si="0"/>
        <v>► Medium</v>
      </c>
    </row>
    <row r="10" spans="1:14" ht="18.600000000000001" thickBot="1">
      <c r="A10" s="25" t="s">
        <v>406</v>
      </c>
      <c r="B10" s="26">
        <f>MIN(SalesData[Total_Amount])</f>
        <v>59.99</v>
      </c>
      <c r="G10" s="53" t="s">
        <v>118</v>
      </c>
      <c r="H10">
        <f>SUMIF(SalesData[Product_Name],G10,SalesData[Quantity])</f>
        <v>89</v>
      </c>
      <c r="I10">
        <f>SUMIF(SalesData[Product_Name],G10,SalesData[Total_Amount])</f>
        <v>8009.1099999999969</v>
      </c>
      <c r="J10" s="24" t="str">
        <f t="shared" si="0"/>
        <v>► Medium</v>
      </c>
    </row>
    <row r="11" spans="1:14">
      <c r="G11" s="53" t="s">
        <v>32</v>
      </c>
      <c r="H11">
        <f>SUMIF(SalesData[Product_Name],G11,SalesData[Quantity])</f>
        <v>87</v>
      </c>
      <c r="I11">
        <f>SUMIF(SalesData[Product_Name],G11,SalesData[Total_Amount])</f>
        <v>5219.1299999999974</v>
      </c>
      <c r="J11" s="24" t="str">
        <f t="shared" si="0"/>
        <v>► Medium</v>
      </c>
    </row>
    <row r="12" spans="1:14" ht="18.600000000000001" thickBot="1">
      <c r="G12" s="53" t="s">
        <v>115</v>
      </c>
      <c r="H12">
        <f>SUMIF(SalesData[Product_Name],G12,SalesData[Quantity])</f>
        <v>39</v>
      </c>
      <c r="I12">
        <f>SUMIF(SalesData[Product_Name],G12,SalesData[Total_Amount])</f>
        <v>3119.6099999999992</v>
      </c>
      <c r="J12" s="24" t="str">
        <f t="shared" si="0"/>
        <v>▼ Low</v>
      </c>
    </row>
    <row r="13" spans="1:14" ht="19.2">
      <c r="A13" s="75" t="s">
        <v>414</v>
      </c>
      <c r="B13" s="76"/>
      <c r="D13" s="75" t="s">
        <v>415</v>
      </c>
      <c r="E13" s="76"/>
      <c r="G13" s="53" t="s">
        <v>45</v>
      </c>
      <c r="H13">
        <f>SUMIF(SalesData[Product_Name],G13,SalesData[Quantity])</f>
        <v>102</v>
      </c>
      <c r="I13">
        <f>SUMIF(SalesData[Product_Name],G13,SalesData[Total_Amount])</f>
        <v>15298.979999999994</v>
      </c>
      <c r="J13" s="24" t="str">
        <f t="shared" si="0"/>
        <v>▲ High</v>
      </c>
    </row>
    <row r="14" spans="1:14" ht="19.2">
      <c r="A14" s="56"/>
      <c r="B14" s="24"/>
      <c r="D14" s="23"/>
      <c r="E14" s="24"/>
      <c r="G14" s="53" t="s">
        <v>106</v>
      </c>
      <c r="H14">
        <f>SUMIF(SalesData[Product_Name],G14,SalesData[Quantity])</f>
        <v>78</v>
      </c>
      <c r="I14">
        <f>SUMIF(SalesData[Product_Name],G14,SalesData[Total_Amount])</f>
        <v>23399.22</v>
      </c>
      <c r="J14" s="24" t="str">
        <f t="shared" si="0"/>
        <v>▲ High</v>
      </c>
    </row>
    <row r="15" spans="1:14" ht="18.600000000000001" thickBot="1">
      <c r="A15" s="23" t="str" cm="1">
        <f t="array" ref="A15:B62">_xlfn._xlws.FILTER(CHOOSE({1,2},SalesData[Customer_ID],SalesData[Customer_Name]),SalesData[Region]="East","No Records")</f>
        <v>CUST009</v>
      </c>
      <c r="B15" s="24" t="str">
        <v>Robert Thomas</v>
      </c>
      <c r="D15" s="23" t="str" cm="1">
        <f t="array" ref="D15:E109">_xlfn._xlws.FILTER(CHOOSE({1,2},SalesData[Customer_ID],SalesData[Customer_Name]),SalesData[Customer_Segment]="Premium","No Records")</f>
        <v>CUST013</v>
      </c>
      <c r="E15" s="24" t="str">
        <v>Joseph Jackson</v>
      </c>
      <c r="G15" s="54" t="s">
        <v>127</v>
      </c>
      <c r="H15" s="55">
        <f>SUMIF(SalesData[Product_Name],G15,SalesData[Quantity])</f>
        <v>52</v>
      </c>
      <c r="I15" s="55">
        <f>SUMIF(SalesData[Product_Name],G15,SalesData[Total_Amount])</f>
        <v>10399.479999999998</v>
      </c>
      <c r="J15" s="26" t="str">
        <f t="shared" si="0"/>
        <v>▲ High</v>
      </c>
    </row>
    <row r="16" spans="1:14" ht="18.600000000000001" thickBot="1">
      <c r="A16" s="23" t="str">
        <v>CUST012</v>
      </c>
      <c r="B16" s="24" t="str">
        <v>Patricia Moore</v>
      </c>
      <c r="D16" s="23" t="str">
        <v>CUST046</v>
      </c>
      <c r="E16" s="24" t="str">
        <v>Kathleen Bennett</v>
      </c>
    </row>
    <row r="17" spans="1:10">
      <c r="A17" s="23" t="str">
        <v>CUST022</v>
      </c>
      <c r="B17" s="24" t="str">
        <v>Susan Green</v>
      </c>
      <c r="D17" s="23" t="str">
        <v>CUST003</v>
      </c>
      <c r="E17" s="24" t="str">
        <v>Michael Brown</v>
      </c>
      <c r="G17" s="77" t="s">
        <v>420</v>
      </c>
      <c r="H17" s="79" t="str">
        <f>INDEX(G6:G15,MATCH(MAX(H6:H15),H6:H15,0))</f>
        <v>Bookshelf</v>
      </c>
    </row>
    <row r="18" spans="1:10" ht="18.600000000000001" thickBot="1">
      <c r="A18" s="23" t="str">
        <v>CUST014</v>
      </c>
      <c r="B18" s="24" t="str">
        <v>Linda Martin</v>
      </c>
      <c r="D18" s="23" t="str">
        <v>CUST026</v>
      </c>
      <c r="E18" s="24" t="str">
        <v>Karen Hill</v>
      </c>
      <c r="G18" s="78"/>
      <c r="H18" s="80"/>
    </row>
    <row r="19" spans="1:10">
      <c r="A19" s="23" t="str">
        <v>CUST029</v>
      </c>
      <c r="B19" s="24" t="str">
        <v>Edward Mitchell</v>
      </c>
      <c r="D19" s="23" t="str">
        <v>CUST041</v>
      </c>
      <c r="E19" s="24" t="str">
        <v>Peter Richardson</v>
      </c>
    </row>
    <row r="20" spans="1:10" ht="18.600000000000001" thickBot="1">
      <c r="A20" s="23" t="str">
        <v>CUST012</v>
      </c>
      <c r="B20" s="24" t="str">
        <v>Patricia Moore</v>
      </c>
      <c r="D20" s="23" t="str">
        <v>CUST025</v>
      </c>
      <c r="E20" s="24" t="str">
        <v>Mark Carter</v>
      </c>
    </row>
    <row r="21" spans="1:10">
      <c r="A21" s="23" t="str">
        <v>CUST004</v>
      </c>
      <c r="B21" s="24" t="str">
        <v>Sarah Davis</v>
      </c>
      <c r="D21" s="23" t="str">
        <v>CUST048</v>
      </c>
      <c r="E21" s="24" t="str">
        <v>Virginia Sanders</v>
      </c>
      <c r="G21" s="57" t="s">
        <v>10</v>
      </c>
      <c r="H21" s="58" t="s">
        <v>419</v>
      </c>
      <c r="I21" s="58" t="s">
        <v>422</v>
      </c>
      <c r="J21" s="59" t="s">
        <v>7</v>
      </c>
    </row>
    <row r="22" spans="1:10">
      <c r="A22" s="23" t="str">
        <v>CUST013</v>
      </c>
      <c r="B22" s="24" t="str">
        <v>Joseph Jackson</v>
      </c>
      <c r="D22" s="23" t="str">
        <v>CUST025</v>
      </c>
      <c r="E22" s="24" t="str">
        <v>Mark Carter</v>
      </c>
      <c r="G22" s="53" t="s">
        <v>40</v>
      </c>
      <c r="H22">
        <f>SUMIF(SalesData[Region],G22,SalesData[Total_Amount])</f>
        <v>50808.310000000012</v>
      </c>
      <c r="I22">
        <f>COUNTIF(SalesData[Region],G22)</f>
        <v>59</v>
      </c>
      <c r="J22" s="24">
        <f>SUMIF(SalesData[Region],G22,SalesData[Quantity])</f>
        <v>169</v>
      </c>
    </row>
    <row r="23" spans="1:10">
      <c r="A23" s="23" t="str">
        <v>CUST003</v>
      </c>
      <c r="B23" s="24" t="str">
        <v>Michael Brown</v>
      </c>
      <c r="D23" s="23" t="str">
        <v>CUST014</v>
      </c>
      <c r="E23" s="24" t="str">
        <v>Linda Martin</v>
      </c>
      <c r="G23" s="53" t="s">
        <v>35</v>
      </c>
      <c r="H23">
        <f>SUMIF(SalesData[Region],G23,SalesData[Total_Amount])</f>
        <v>36398.750000000007</v>
      </c>
      <c r="I23">
        <f>COUNTIF(SalesData[Region],G23)</f>
        <v>42</v>
      </c>
      <c r="J23" s="24">
        <f>SUMIF(SalesData[Region],G23,SalesData[Quantity])</f>
        <v>125</v>
      </c>
    </row>
    <row r="24" spans="1:10">
      <c r="A24" s="23" t="str">
        <v>CUST050</v>
      </c>
      <c r="B24" s="24" t="str">
        <v>Julie Foster</v>
      </c>
      <c r="D24" s="23" t="str">
        <v>CUST012</v>
      </c>
      <c r="E24" s="24" t="str">
        <v>Patricia Moore</v>
      </c>
      <c r="G24" s="53" t="s">
        <v>63</v>
      </c>
      <c r="H24">
        <f>SUMIF(SalesData[Region],G24,SalesData[Total_Amount])</f>
        <v>59288.389999999992</v>
      </c>
      <c r="I24">
        <f>COUNTIF(SalesData[Region],G24)</f>
        <v>48</v>
      </c>
      <c r="J24" s="24">
        <f>SUMIF(SalesData[Region],G24,SalesData[Quantity])</f>
        <v>161</v>
      </c>
    </row>
    <row r="25" spans="1:10">
      <c r="A25" s="23" t="str">
        <v>CUST029</v>
      </c>
      <c r="B25" s="24" t="str">
        <v>Edward Mitchell</v>
      </c>
      <c r="D25" s="23" t="str">
        <v>CUST002</v>
      </c>
      <c r="E25" s="24" t="str">
        <v>Emma Wilson</v>
      </c>
      <c r="G25" s="53" t="s">
        <v>50</v>
      </c>
      <c r="H25">
        <f>SUMIF(SalesData[Region],G25,SalesData[Total_Amount])</f>
        <v>41408.680000000015</v>
      </c>
      <c r="I25">
        <f>COUNTIF(SalesData[Region],G25)</f>
        <v>47</v>
      </c>
      <c r="J25" s="24">
        <f>SUMIF(SalesData[Region],G25,SalesData[Quantity])</f>
        <v>132</v>
      </c>
    </row>
    <row r="26" spans="1:10" ht="18.600000000000001" thickBot="1">
      <c r="A26" s="23" t="str">
        <v>CUST008</v>
      </c>
      <c r="B26" s="24" t="str">
        <v>Jennifer Taylor</v>
      </c>
      <c r="D26" s="23" t="str">
        <v>CUST021</v>
      </c>
      <c r="E26" s="24" t="str">
        <v>Kevin Scott</v>
      </c>
      <c r="G26" s="54" t="s">
        <v>21</v>
      </c>
      <c r="H26" s="55">
        <f>SUMIF(SalesData[Region],G26,SalesData[Total_Amount])</f>
        <v>41288.340000000018</v>
      </c>
      <c r="I26" s="55">
        <f>COUNTIF(SalesData[Region],G26)</f>
        <v>54</v>
      </c>
      <c r="J26" s="26">
        <f>SUMIF(SalesData[Region],G26,SalesData[Quantity])</f>
        <v>166</v>
      </c>
    </row>
    <row r="27" spans="1:10">
      <c r="A27" s="23" t="str">
        <v>CUST046</v>
      </c>
      <c r="B27" s="24" t="str">
        <v>Kathleen Bennett</v>
      </c>
      <c r="D27" s="23" t="str">
        <v>CUST031</v>
      </c>
      <c r="E27" s="24" t="str">
        <v>Steven Turner</v>
      </c>
    </row>
    <row r="28" spans="1:10">
      <c r="A28" s="23" t="str">
        <v>CUST012</v>
      </c>
      <c r="B28" s="24" t="str">
        <v>Patricia Moore</v>
      </c>
      <c r="D28" s="23" t="str">
        <v>CUST035</v>
      </c>
      <c r="E28" s="24" t="str">
        <v>Harry Morgan</v>
      </c>
    </row>
    <row r="29" spans="1:10" ht="18.600000000000001" thickBot="1">
      <c r="A29" s="23" t="str">
        <v>CUST030</v>
      </c>
      <c r="B29" s="24" t="str">
        <v>Helen Roberts</v>
      </c>
      <c r="D29" s="23" t="str">
        <v>CUST003</v>
      </c>
      <c r="E29" s="24" t="str">
        <v>Michael Brown</v>
      </c>
    </row>
    <row r="30" spans="1:10">
      <c r="A30" s="23" t="str">
        <v>CUST003</v>
      </c>
      <c r="B30" s="24" t="str">
        <v>Michael Brown</v>
      </c>
      <c r="D30" s="23" t="str">
        <v>CUST006</v>
      </c>
      <c r="E30" s="24" t="str">
        <v>Lisa Anderson</v>
      </c>
      <c r="G30" s="72" t="s">
        <v>13</v>
      </c>
      <c r="H30" s="73"/>
    </row>
    <row r="31" spans="1:10">
      <c r="A31" s="23" t="str">
        <v>CUST044</v>
      </c>
      <c r="B31" s="24" t="str">
        <v>Cynthia Price</v>
      </c>
      <c r="D31" s="23" t="str">
        <v>CUST012</v>
      </c>
      <c r="E31" s="24" t="str">
        <v>Patricia Moore</v>
      </c>
      <c r="G31" s="23"/>
      <c r="H31" s="24"/>
    </row>
    <row r="32" spans="1:10">
      <c r="A32" s="23" t="str">
        <v>CUST020</v>
      </c>
      <c r="B32" s="24" t="str">
        <v>Margaret Wright</v>
      </c>
      <c r="D32" s="23" t="str">
        <v>CUST029</v>
      </c>
      <c r="E32" s="24" t="str">
        <v>Edward Mitchell</v>
      </c>
      <c r="G32" s="23" t="s">
        <v>452</v>
      </c>
      <c r="H32" s="24">
        <v>916.76988000000131</v>
      </c>
    </row>
    <row r="33" spans="1:8">
      <c r="A33" s="23" t="str">
        <v>CUST025</v>
      </c>
      <c r="B33" s="24" t="str">
        <v>Mark Carter</v>
      </c>
      <c r="D33" s="23" t="str">
        <v>CUST028</v>
      </c>
      <c r="E33" s="24" t="str">
        <v>Betty Campbell</v>
      </c>
      <c r="G33" s="23" t="s">
        <v>453</v>
      </c>
      <c r="H33" s="24">
        <v>65.298067457580316</v>
      </c>
    </row>
    <row r="34" spans="1:8">
      <c r="A34" s="23" t="str">
        <v>CUST047</v>
      </c>
      <c r="B34" s="24" t="str">
        <v>Gerald Murphy</v>
      </c>
      <c r="D34" s="23" t="str">
        <v>CUST021</v>
      </c>
      <c r="E34" s="24" t="str">
        <v>Kevin Scott</v>
      </c>
      <c r="G34" s="23" t="s">
        <v>454</v>
      </c>
      <c r="H34" s="24">
        <v>499.98</v>
      </c>
    </row>
    <row r="35" spans="1:8">
      <c r="A35" s="23" t="str">
        <v>CUST036</v>
      </c>
      <c r="B35" s="24" t="str">
        <v>Nancy Collins</v>
      </c>
      <c r="D35" s="23" t="str">
        <v>CUST046</v>
      </c>
      <c r="E35" s="24" t="str">
        <v>Kathleen Bennett</v>
      </c>
      <c r="G35" s="23" t="s">
        <v>455</v>
      </c>
      <c r="H35" s="24">
        <v>299.98</v>
      </c>
    </row>
    <row r="36" spans="1:8">
      <c r="A36" s="23" t="str">
        <v>CUST002</v>
      </c>
      <c r="B36" s="24" t="str">
        <v>Emma Wilson</v>
      </c>
      <c r="D36" s="23" t="str">
        <v>CUST012</v>
      </c>
      <c r="E36" s="24" t="str">
        <v>Patricia Moore</v>
      </c>
      <c r="G36" s="23" t="s">
        <v>456</v>
      </c>
      <c r="H36" s="24">
        <v>1032.4530998663704</v>
      </c>
    </row>
    <row r="37" spans="1:8">
      <c r="A37" s="23" t="str">
        <v>CUST004</v>
      </c>
      <c r="B37" s="24" t="str">
        <v>Sarah Davis</v>
      </c>
      <c r="D37" s="23" t="str">
        <v>CUST002</v>
      </c>
      <c r="E37" s="24" t="str">
        <v>Emma Wilson</v>
      </c>
      <c r="G37" s="23" t="s">
        <v>457</v>
      </c>
      <c r="H37" s="24">
        <v>1065959.4034236774</v>
      </c>
    </row>
    <row r="38" spans="1:8">
      <c r="A38" s="23" t="str">
        <v>CUST019</v>
      </c>
      <c r="B38" s="24" t="str">
        <v>Daniel King</v>
      </c>
      <c r="D38" s="23" t="str">
        <v>CUST003</v>
      </c>
      <c r="E38" s="24" t="str">
        <v>Michael Brown</v>
      </c>
      <c r="G38" s="23" t="s">
        <v>458</v>
      </c>
      <c r="H38" s="24">
        <v>3.059740754321012</v>
      </c>
    </row>
    <row r="39" spans="1:8">
      <c r="A39" s="23" t="str">
        <v>CUST011</v>
      </c>
      <c r="B39" s="24" t="str">
        <v>William White</v>
      </c>
      <c r="D39" s="23" t="str">
        <v>CUST018</v>
      </c>
      <c r="E39" s="24" t="str">
        <v>Barbara Young</v>
      </c>
      <c r="G39" s="23" t="s">
        <v>459</v>
      </c>
      <c r="H39" s="24">
        <v>1.9133743516571198</v>
      </c>
    </row>
    <row r="40" spans="1:8">
      <c r="A40" s="23" t="str">
        <v>CUST014</v>
      </c>
      <c r="B40" s="24" t="str">
        <v>Linda Martin</v>
      </c>
      <c r="D40" s="23" t="str">
        <v>CUST033</v>
      </c>
      <c r="E40" s="24" t="str">
        <v>Frank Torres</v>
      </c>
      <c r="G40" s="23" t="s">
        <v>460</v>
      </c>
      <c r="H40" s="24">
        <v>4439.96</v>
      </c>
    </row>
    <row r="41" spans="1:8">
      <c r="A41" s="23" t="str">
        <v>CUST015</v>
      </c>
      <c r="B41" s="24" t="str">
        <v>Richard Lee</v>
      </c>
      <c r="D41" s="23" t="str">
        <v>CUST041</v>
      </c>
      <c r="E41" s="24" t="str">
        <v>Peter Richardson</v>
      </c>
      <c r="G41" s="23" t="s">
        <v>461</v>
      </c>
      <c r="H41" s="24">
        <v>59.99</v>
      </c>
    </row>
    <row r="42" spans="1:8">
      <c r="A42" s="23" t="str">
        <v>CUST016</v>
      </c>
      <c r="B42" s="24" t="str">
        <v>Elizabeth Hall</v>
      </c>
      <c r="D42" s="23" t="str">
        <v>CUST026</v>
      </c>
      <c r="E42" s="24" t="str">
        <v>Karen Hill</v>
      </c>
      <c r="G42" s="23" t="s">
        <v>462</v>
      </c>
      <c r="H42" s="24">
        <v>4499.95</v>
      </c>
    </row>
    <row r="43" spans="1:8">
      <c r="A43" s="23" t="str">
        <v>CUST018</v>
      </c>
      <c r="B43" s="24" t="str">
        <v>Barbara Young</v>
      </c>
      <c r="D43" s="23" t="str">
        <v>CUST018</v>
      </c>
      <c r="E43" s="24" t="str">
        <v>Barbara Young</v>
      </c>
      <c r="G43" s="23" t="s">
        <v>463</v>
      </c>
      <c r="H43" s="24">
        <v>229192.47000000032</v>
      </c>
    </row>
    <row r="44" spans="1:8" ht="18.600000000000001" thickBot="1">
      <c r="A44" s="23" t="str">
        <v>CUST040</v>
      </c>
      <c r="B44" s="24" t="str">
        <v>Sharon Butler</v>
      </c>
      <c r="D44" s="23" t="str">
        <v>CUST025</v>
      </c>
      <c r="E44" s="24" t="str">
        <v>Mark Carter</v>
      </c>
      <c r="G44" s="25" t="s">
        <v>464</v>
      </c>
      <c r="H44" s="26">
        <v>250</v>
      </c>
    </row>
    <row r="45" spans="1:8">
      <c r="A45" s="23" t="str">
        <v>CUST011</v>
      </c>
      <c r="B45" s="24" t="str">
        <v>William White</v>
      </c>
      <c r="D45" s="23" t="str">
        <v>CUST007</v>
      </c>
      <c r="E45" s="24" t="str">
        <v>David Martinez</v>
      </c>
    </row>
    <row r="46" spans="1:8">
      <c r="A46" s="23" t="str">
        <v>CUST008</v>
      </c>
      <c r="B46" s="24" t="str">
        <v>Jennifer Taylor</v>
      </c>
      <c r="D46" s="23" t="str">
        <v>CUST020</v>
      </c>
      <c r="E46" s="24" t="str">
        <v>Margaret Wright</v>
      </c>
    </row>
    <row r="47" spans="1:8">
      <c r="A47" s="23" t="str">
        <v>CUST030</v>
      </c>
      <c r="B47" s="24" t="str">
        <v>Helen Roberts</v>
      </c>
      <c r="D47" s="23" t="str">
        <v>CUST026</v>
      </c>
      <c r="E47" s="24" t="str">
        <v>Karen Hill</v>
      </c>
    </row>
    <row r="48" spans="1:8">
      <c r="A48" s="23" t="str">
        <v>CUST007</v>
      </c>
      <c r="B48" s="24" t="str">
        <v>David Martinez</v>
      </c>
      <c r="D48" s="23" t="str">
        <v>CUST028</v>
      </c>
      <c r="E48" s="24" t="str">
        <v>Betty Campbell</v>
      </c>
    </row>
    <row r="49" spans="1:5">
      <c r="A49" s="23" t="str">
        <v>CUST031</v>
      </c>
      <c r="B49" s="24" t="str">
        <v>Steven Turner</v>
      </c>
      <c r="D49" s="23" t="str">
        <v>CUST025</v>
      </c>
      <c r="E49" s="24" t="str">
        <v>Mark Carter</v>
      </c>
    </row>
    <row r="50" spans="1:5">
      <c r="A50" s="23" t="str">
        <v>CUST019</v>
      </c>
      <c r="B50" s="24" t="str">
        <v>Daniel King</v>
      </c>
      <c r="D50" s="23" t="str">
        <v>CUST039</v>
      </c>
      <c r="E50" s="24" t="str">
        <v>Lawrence Reed</v>
      </c>
    </row>
    <row r="51" spans="1:5">
      <c r="A51" s="23" t="str">
        <v>CUST006</v>
      </c>
      <c r="B51" s="24" t="str">
        <v>Lisa Anderson</v>
      </c>
      <c r="D51" s="23" t="str">
        <v>CUST047</v>
      </c>
      <c r="E51" s="24" t="str">
        <v>Gerald Murphy</v>
      </c>
    </row>
    <row r="52" spans="1:5">
      <c r="A52" s="23" t="str">
        <v>CUST031</v>
      </c>
      <c r="B52" s="24" t="str">
        <v>Steven Turner</v>
      </c>
      <c r="D52" s="23" t="str">
        <v>CUST034</v>
      </c>
      <c r="E52" s="24" t="str">
        <v>Carol Evans</v>
      </c>
    </row>
    <row r="53" spans="1:5">
      <c r="A53" s="23" t="str">
        <v>CUST009</v>
      </c>
      <c r="B53" s="24" t="str">
        <v>Robert Thomas</v>
      </c>
      <c r="D53" s="23" t="str">
        <v>CUST032</v>
      </c>
      <c r="E53" s="24" t="str">
        <v>Sandra Phillips</v>
      </c>
    </row>
    <row r="54" spans="1:5">
      <c r="A54" s="23" t="str">
        <v>CUST006</v>
      </c>
      <c r="B54" s="24" t="str">
        <v>Lisa Anderson</v>
      </c>
      <c r="D54" s="23" t="str">
        <v>CUST034</v>
      </c>
      <c r="E54" s="24" t="str">
        <v>Carol Evans</v>
      </c>
    </row>
    <row r="55" spans="1:5">
      <c r="A55" s="23" t="str">
        <v>CUST022</v>
      </c>
      <c r="B55" s="24" t="str">
        <v>Susan Green</v>
      </c>
      <c r="D55" s="23" t="str">
        <v>CUST023</v>
      </c>
      <c r="E55" s="24" t="str">
        <v>Paul Baker</v>
      </c>
    </row>
    <row r="56" spans="1:5">
      <c r="A56" s="23" t="str">
        <v>CUST036</v>
      </c>
      <c r="B56" s="24" t="str">
        <v>Nancy Collins</v>
      </c>
      <c r="D56" s="23" t="str">
        <v>CUST039</v>
      </c>
      <c r="E56" s="24" t="str">
        <v>Lawrence Reed</v>
      </c>
    </row>
    <row r="57" spans="1:5">
      <c r="A57" s="23" t="str">
        <v>CUST018</v>
      </c>
      <c r="B57" s="24" t="str">
        <v>Barbara Young</v>
      </c>
      <c r="D57" s="23" t="str">
        <v>CUST031</v>
      </c>
      <c r="E57" s="24" t="str">
        <v>Steven Turner</v>
      </c>
    </row>
    <row r="58" spans="1:5">
      <c r="A58" s="23" t="str">
        <v>CUST039</v>
      </c>
      <c r="B58" s="24" t="str">
        <v>Lawrence Reed</v>
      </c>
      <c r="D58" s="23" t="str">
        <v>CUST024</v>
      </c>
      <c r="E58" s="24" t="str">
        <v>Dorothy Nelson</v>
      </c>
    </row>
    <row r="59" spans="1:5">
      <c r="A59" s="23" t="str">
        <v>CUST030</v>
      </c>
      <c r="B59" s="24" t="str">
        <v>Helen Roberts</v>
      </c>
      <c r="D59" s="23" t="str">
        <v>CUST046</v>
      </c>
      <c r="E59" s="24" t="str">
        <v>Kathleen Bennett</v>
      </c>
    </row>
    <row r="60" spans="1:5">
      <c r="A60" s="23" t="str">
        <v>CUST035</v>
      </c>
      <c r="B60" s="24" t="str">
        <v>Harry Morgan</v>
      </c>
      <c r="D60" s="23" t="str">
        <v>CUST019</v>
      </c>
      <c r="E60" s="24" t="str">
        <v>Daniel King</v>
      </c>
    </row>
    <row r="61" spans="1:5">
      <c r="A61" s="23" t="str">
        <v>CUST009</v>
      </c>
      <c r="B61" s="24" t="str">
        <v>Robert Thomas</v>
      </c>
      <c r="D61" s="23" t="str">
        <v>CUST003</v>
      </c>
      <c r="E61" s="24" t="str">
        <v>Michael Brown</v>
      </c>
    </row>
    <row r="62" spans="1:5" ht="18.600000000000001" thickBot="1">
      <c r="A62" s="25" t="str">
        <v>CUST039</v>
      </c>
      <c r="B62" s="26" t="str">
        <v>Lawrence Reed</v>
      </c>
      <c r="D62" s="23" t="str">
        <v>CUST032</v>
      </c>
      <c r="E62" s="24" t="str">
        <v>Sandra Phillips</v>
      </c>
    </row>
    <row r="63" spans="1:5">
      <c r="D63" s="23" t="str">
        <v>CUST016</v>
      </c>
      <c r="E63" s="24" t="str">
        <v>Elizabeth Hall</v>
      </c>
    </row>
    <row r="64" spans="1:5">
      <c r="D64" s="23" t="str">
        <v>CUST028</v>
      </c>
      <c r="E64" s="24" t="str">
        <v>Betty Campbell</v>
      </c>
    </row>
    <row r="65" spans="4:5">
      <c r="D65" s="23" t="str">
        <v>CUST012</v>
      </c>
      <c r="E65" s="24" t="str">
        <v>Patricia Moore</v>
      </c>
    </row>
    <row r="66" spans="4:5">
      <c r="D66" s="23" t="str">
        <v>CUST010</v>
      </c>
      <c r="E66" s="24" t="str">
        <v>Maria Garcia</v>
      </c>
    </row>
    <row r="67" spans="4:5">
      <c r="D67" s="23" t="str">
        <v>CUST020</v>
      </c>
      <c r="E67" s="24" t="str">
        <v>Margaret Wright</v>
      </c>
    </row>
    <row r="68" spans="4:5">
      <c r="D68" s="23" t="str">
        <v>CUST023</v>
      </c>
      <c r="E68" s="24" t="str">
        <v>Paul Baker</v>
      </c>
    </row>
    <row r="69" spans="4:5">
      <c r="D69" s="23" t="str">
        <v>CUST029</v>
      </c>
      <c r="E69" s="24" t="str">
        <v>Edward Mitchell</v>
      </c>
    </row>
    <row r="70" spans="4:5">
      <c r="D70" s="23" t="str">
        <v>CUST021</v>
      </c>
      <c r="E70" s="24" t="str">
        <v>Kevin Scott</v>
      </c>
    </row>
    <row r="71" spans="4:5">
      <c r="D71" s="23" t="str">
        <v>CUST017</v>
      </c>
      <c r="E71" s="24" t="str">
        <v>Charles Allen</v>
      </c>
    </row>
    <row r="72" spans="4:5">
      <c r="D72" s="23" t="str">
        <v>CUST013</v>
      </c>
      <c r="E72" s="24" t="str">
        <v>Joseph Jackson</v>
      </c>
    </row>
    <row r="73" spans="4:5">
      <c r="D73" s="23" t="str">
        <v>CUST011</v>
      </c>
      <c r="E73" s="24" t="str">
        <v>William White</v>
      </c>
    </row>
    <row r="74" spans="4:5">
      <c r="D74" s="23" t="str">
        <v>CUST024</v>
      </c>
      <c r="E74" s="24" t="str">
        <v>Dorothy Nelson</v>
      </c>
    </row>
    <row r="75" spans="4:5">
      <c r="D75" s="23" t="str">
        <v>CUST036</v>
      </c>
      <c r="E75" s="24" t="str">
        <v>Nancy Collins</v>
      </c>
    </row>
    <row r="76" spans="4:5">
      <c r="D76" s="23" t="str">
        <v>CUST005</v>
      </c>
      <c r="E76" s="24" t="str">
        <v>James Johnson</v>
      </c>
    </row>
    <row r="77" spans="4:5">
      <c r="D77" s="23" t="str">
        <v>CUST031</v>
      </c>
      <c r="E77" s="24" t="str">
        <v>Steven Turner</v>
      </c>
    </row>
    <row r="78" spans="4:5">
      <c r="D78" s="23" t="str">
        <v>CUST014</v>
      </c>
      <c r="E78" s="24" t="str">
        <v>Linda Martin</v>
      </c>
    </row>
    <row r="79" spans="4:5">
      <c r="D79" s="23" t="str">
        <v>CUST009</v>
      </c>
      <c r="E79" s="24" t="str">
        <v>Robert Thomas</v>
      </c>
    </row>
    <row r="80" spans="4:5">
      <c r="D80" s="23" t="str">
        <v>CUST036</v>
      </c>
      <c r="E80" s="24" t="str">
        <v>Nancy Collins</v>
      </c>
    </row>
    <row r="81" spans="4:5">
      <c r="D81" s="23" t="str">
        <v>CUST025</v>
      </c>
      <c r="E81" s="24" t="str">
        <v>Mark Carter</v>
      </c>
    </row>
    <row r="82" spans="4:5">
      <c r="D82" s="23" t="str">
        <v>CUST019</v>
      </c>
      <c r="E82" s="24" t="str">
        <v>Daniel King</v>
      </c>
    </row>
    <row r="83" spans="4:5">
      <c r="D83" s="23" t="str">
        <v>CUST006</v>
      </c>
      <c r="E83" s="24" t="str">
        <v>Lisa Anderson</v>
      </c>
    </row>
    <row r="84" spans="4:5">
      <c r="D84" s="23" t="str">
        <v>CUST026</v>
      </c>
      <c r="E84" s="24" t="str">
        <v>Karen Hill</v>
      </c>
    </row>
    <row r="85" spans="4:5">
      <c r="D85" s="23" t="str">
        <v>CUST038</v>
      </c>
      <c r="E85" s="24" t="str">
        <v>Michelle Rogers</v>
      </c>
    </row>
    <row r="86" spans="4:5">
      <c r="D86" s="23" t="str">
        <v>CUST028</v>
      </c>
      <c r="E86" s="24" t="str">
        <v>Betty Campbell</v>
      </c>
    </row>
    <row r="87" spans="4:5">
      <c r="D87" s="23" t="str">
        <v>CUST024</v>
      </c>
      <c r="E87" s="24" t="str">
        <v>Dorothy Nelson</v>
      </c>
    </row>
    <row r="88" spans="4:5">
      <c r="D88" s="23" t="str">
        <v>CUST045</v>
      </c>
      <c r="E88" s="24" t="str">
        <v>Douglas Watson</v>
      </c>
    </row>
    <row r="89" spans="4:5">
      <c r="D89" s="23" t="str">
        <v>CUST026</v>
      </c>
      <c r="E89" s="24" t="str">
        <v>Karen Hill</v>
      </c>
    </row>
    <row r="90" spans="4:5">
      <c r="D90" s="23" t="str">
        <v>CUST003</v>
      </c>
      <c r="E90" s="24" t="str">
        <v>Michael Brown</v>
      </c>
    </row>
    <row r="91" spans="4:5">
      <c r="D91" s="23" t="str">
        <v>CUST042</v>
      </c>
      <c r="E91" s="24" t="str">
        <v>Ruth Brooks</v>
      </c>
    </row>
    <row r="92" spans="4:5">
      <c r="D92" s="23" t="str">
        <v>CUST036</v>
      </c>
      <c r="E92" s="24" t="str">
        <v>Nancy Collins</v>
      </c>
    </row>
    <row r="93" spans="4:5">
      <c r="D93" s="23" t="str">
        <v>CUST015</v>
      </c>
      <c r="E93" s="24" t="str">
        <v>Richard Lee</v>
      </c>
    </row>
    <row r="94" spans="4:5">
      <c r="D94" s="23" t="str">
        <v>CUST029</v>
      </c>
      <c r="E94" s="24" t="str">
        <v>Edward Mitchell</v>
      </c>
    </row>
    <row r="95" spans="4:5">
      <c r="D95" s="23" t="str">
        <v>CUST033</v>
      </c>
      <c r="E95" s="24" t="str">
        <v>Frank Torres</v>
      </c>
    </row>
    <row r="96" spans="4:5">
      <c r="D96" s="23" t="str">
        <v>CUST042</v>
      </c>
      <c r="E96" s="24" t="str">
        <v>Ruth Brooks</v>
      </c>
    </row>
    <row r="97" spans="4:5">
      <c r="D97" s="23" t="str">
        <v>CUST037</v>
      </c>
      <c r="E97" s="24" t="str">
        <v>Arthur Edwards</v>
      </c>
    </row>
    <row r="98" spans="4:5">
      <c r="D98" s="23" t="str">
        <v>CUST016</v>
      </c>
      <c r="E98" s="24" t="str">
        <v>Elizabeth Hall</v>
      </c>
    </row>
    <row r="99" spans="4:5">
      <c r="D99" s="23" t="str">
        <v>CUST031</v>
      </c>
      <c r="E99" s="24" t="str">
        <v>Steven Turner</v>
      </c>
    </row>
    <row r="100" spans="4:5">
      <c r="D100" s="23" t="str">
        <v>CUST039</v>
      </c>
      <c r="E100" s="24" t="str">
        <v>Lawrence Reed</v>
      </c>
    </row>
    <row r="101" spans="4:5">
      <c r="D101" s="23" t="str">
        <v>CUST043</v>
      </c>
      <c r="E101" s="24" t="str">
        <v>Dennis Gray</v>
      </c>
    </row>
    <row r="102" spans="4:5">
      <c r="D102" s="23" t="str">
        <v>CUST023</v>
      </c>
      <c r="E102" s="24" t="str">
        <v>Paul Baker</v>
      </c>
    </row>
    <row r="103" spans="4:5">
      <c r="D103" s="23" t="str">
        <v>CUST039</v>
      </c>
      <c r="E103" s="24" t="str">
        <v>Lawrence Reed</v>
      </c>
    </row>
    <row r="104" spans="4:5">
      <c r="D104" s="23" t="str">
        <v>CUST035</v>
      </c>
      <c r="E104" s="24" t="str">
        <v>Harry Morgan</v>
      </c>
    </row>
    <row r="105" spans="4:5">
      <c r="D105" s="23" t="str">
        <v>CUST002</v>
      </c>
      <c r="E105" s="24" t="str">
        <v>Emma Wilson</v>
      </c>
    </row>
    <row r="106" spans="4:5">
      <c r="D106" s="23" t="str">
        <v>CUST040</v>
      </c>
      <c r="E106" s="24" t="str">
        <v>Sharon Butler</v>
      </c>
    </row>
    <row r="107" spans="4:5">
      <c r="D107" s="23" t="str">
        <v>CUST023</v>
      </c>
      <c r="E107" s="24" t="str">
        <v>Paul Baker</v>
      </c>
    </row>
    <row r="108" spans="4:5">
      <c r="D108" s="23" t="str">
        <v>CUST026</v>
      </c>
      <c r="E108" s="24" t="str">
        <v>Karen Hill</v>
      </c>
    </row>
    <row r="109" spans="4:5" ht="18.600000000000001" thickBot="1">
      <c r="D109" s="25" t="str">
        <v>CUST031</v>
      </c>
      <c r="E109" s="26" t="str">
        <v>Steven Turner</v>
      </c>
    </row>
  </sheetData>
  <mergeCells count="9">
    <mergeCell ref="G30:H30"/>
    <mergeCell ref="A1:J1"/>
    <mergeCell ref="A3:B3"/>
    <mergeCell ref="D3:E3"/>
    <mergeCell ref="A13:B13"/>
    <mergeCell ref="D13:E13"/>
    <mergeCell ref="G17:G18"/>
    <mergeCell ref="H17:H18"/>
    <mergeCell ref="G3:J3"/>
  </mergeCells>
  <conditionalFormatting sqref="I5:I15">
    <cfRule type="iconSet" priority="1">
      <iconSet iconSet="3Arrows">
        <cfvo type="percent" val="0"/>
        <cfvo type="percent" val="33"/>
        <cfvo type="percent" val="67"/>
      </iconSet>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31B52-0105-4946-87A5-D93A2B2A1E7F}">
  <dimension ref="A1:H53"/>
  <sheetViews>
    <sheetView showGridLines="0" topLeftCell="A17" zoomScale="50" workbookViewId="0">
      <selection activeCell="K10" sqref="K10"/>
    </sheetView>
  </sheetViews>
  <sheetFormatPr defaultRowHeight="18"/>
  <cols>
    <col min="1" max="1" width="41.44140625" bestFit="1" customWidth="1"/>
    <col min="2" max="2" width="14.6640625" customWidth="1"/>
    <col min="3" max="3" width="16.109375" customWidth="1"/>
    <col min="4" max="4" width="12.5546875" customWidth="1"/>
    <col min="5" max="5" width="18.44140625" customWidth="1"/>
    <col min="6" max="6" width="17.77734375" bestFit="1" customWidth="1"/>
    <col min="8" max="8" width="21.109375" bestFit="1" customWidth="1"/>
  </cols>
  <sheetData>
    <row r="1" spans="1:8" ht="21.6">
      <c r="A1" s="84" t="s">
        <v>423</v>
      </c>
      <c r="B1" s="84"/>
      <c r="C1" s="84"/>
      <c r="D1" s="84"/>
      <c r="E1" s="84"/>
      <c r="F1" s="84"/>
      <c r="G1" s="84"/>
      <c r="H1" s="84"/>
    </row>
    <row r="2" spans="1:8" ht="18.600000000000001" thickBot="1"/>
    <row r="3" spans="1:8">
      <c r="A3" s="60" t="s">
        <v>2</v>
      </c>
      <c r="B3" s="61" t="s">
        <v>3</v>
      </c>
      <c r="C3" s="61" t="s">
        <v>424</v>
      </c>
      <c r="D3" s="61" t="s">
        <v>425</v>
      </c>
      <c r="E3" s="61" t="s">
        <v>426</v>
      </c>
      <c r="F3" s="62" t="s">
        <v>427</v>
      </c>
      <c r="H3" s="2" t="s">
        <v>428</v>
      </c>
    </row>
    <row r="4" spans="1:8">
      <c r="A4" s="23" t="str" cm="1">
        <f t="array" ref="A4:A53">_xlfn.UNIQUE(SalesData[Customer_ID])</f>
        <v>CUST023</v>
      </c>
      <c r="B4" t="str">
        <f>_xlfn.XLOOKUP(A4,SalesData[Customer_ID],SalesData[Customer_Name],"")</f>
        <v>Paul Baker</v>
      </c>
      <c r="C4">
        <f>COUNTIF(SalesData[Customer_ID],A4)</f>
        <v>8</v>
      </c>
      <c r="D4">
        <f>SUMIF(SalesData[Customer_ID],A4,SalesData[Total_Amount])</f>
        <v>8309.739999999998</v>
      </c>
      <c r="E4">
        <f>D4/C4</f>
        <v>1038.7174999999997</v>
      </c>
      <c r="F4" s="24" t="str">
        <f>IF(D4&gt;=5000,"High Value",IF(D4&gt;=2500,"Medium Value","Regular"))</f>
        <v>High Value</v>
      </c>
      <c r="H4" s="3" t="str">
        <f>INDEX(B4:B100,MATCH(MAX(D4:D100),D4:D100,0))</f>
        <v>Mark Carter</v>
      </c>
    </row>
    <row r="5" spans="1:8">
      <c r="A5" s="23" t="str">
        <v>CUST013</v>
      </c>
      <c r="B5" t="str">
        <f>_xlfn.XLOOKUP(A5,SalesData[Customer_ID],SalesData[Customer_Name],"")</f>
        <v>Joseph Jackson</v>
      </c>
      <c r="C5">
        <f>COUNTIF(SalesData[Customer_ID],A5)</f>
        <v>5</v>
      </c>
      <c r="D5">
        <f>SUMIF(SalesData[Customer_ID],A5,SalesData[Total_Amount])</f>
        <v>6949.84</v>
      </c>
      <c r="E5">
        <f t="shared" ref="E5:E53" si="0">D5/C5</f>
        <v>1389.9680000000001</v>
      </c>
      <c r="F5" s="24" t="str">
        <f t="shared" ref="F5:F53" si="1">IF(D5&gt;=5000,"High Value",IF(D5&gt;=2500,"Medium Value","Regular"))</f>
        <v>High Value</v>
      </c>
      <c r="H5" s="4" t="s">
        <v>429</v>
      </c>
    </row>
    <row r="6" spans="1:8" ht="18.600000000000001" thickBot="1">
      <c r="A6" s="23" t="str">
        <v>CUST021</v>
      </c>
      <c r="B6" t="str">
        <f>_xlfn.XLOOKUP(A6,SalesData[Customer_ID],SalesData[Customer_Name],"")</f>
        <v>Kevin Scott</v>
      </c>
      <c r="C6">
        <f>COUNTIF(SalesData[Customer_ID],A6)</f>
        <v>6</v>
      </c>
      <c r="D6">
        <f>SUMIF(SalesData[Customer_ID],A6,SalesData[Total_Amount])</f>
        <v>3259.87</v>
      </c>
      <c r="E6">
        <f t="shared" si="0"/>
        <v>543.31166666666661</v>
      </c>
      <c r="F6" s="24" t="str">
        <f t="shared" si="1"/>
        <v>Medium Value</v>
      </c>
      <c r="H6" s="5">
        <f>MAX(D4:D100)</f>
        <v>15659.65</v>
      </c>
    </row>
    <row r="7" spans="1:8">
      <c r="A7" s="23" t="str">
        <v>CUST046</v>
      </c>
      <c r="B7" t="str">
        <f>_xlfn.XLOOKUP(A7,SalesData[Customer_ID],SalesData[Customer_Name],"")</f>
        <v>Kathleen Bennett</v>
      </c>
      <c r="C7">
        <f>COUNTIF(SalesData[Customer_ID],A7)</f>
        <v>6</v>
      </c>
      <c r="D7">
        <f>SUMIF(SalesData[Customer_ID],A7,SalesData[Total_Amount])</f>
        <v>4309.8099999999995</v>
      </c>
      <c r="E7">
        <f t="shared" si="0"/>
        <v>718.30166666666662</v>
      </c>
      <c r="F7" s="24" t="str">
        <f t="shared" si="1"/>
        <v>Medium Value</v>
      </c>
    </row>
    <row r="8" spans="1:8">
      <c r="A8" s="23" t="str">
        <v>CUST003</v>
      </c>
      <c r="B8" t="str">
        <f>_xlfn.XLOOKUP(A8,SalesData[Customer_ID],SalesData[Customer_Name],"")</f>
        <v>Michael Brown</v>
      </c>
      <c r="C8">
        <f>COUNTIF(SalesData[Customer_ID],A8)</f>
        <v>9</v>
      </c>
      <c r="D8">
        <f>SUMIF(SalesData[Customer_ID],A8,SalesData[Total_Amount])</f>
        <v>6169.7400000000007</v>
      </c>
      <c r="E8">
        <f t="shared" si="0"/>
        <v>685.52666666666676</v>
      </c>
      <c r="F8" s="24" t="str">
        <f t="shared" si="1"/>
        <v>High Value</v>
      </c>
    </row>
    <row r="9" spans="1:8">
      <c r="A9" s="23" t="str">
        <v>CUST024</v>
      </c>
      <c r="B9" t="str">
        <f>_xlfn.XLOOKUP(A9,SalesData[Customer_ID],SalesData[Customer_Name],"")</f>
        <v>Dorothy Nelson</v>
      </c>
      <c r="C9">
        <f>COUNTIF(SalesData[Customer_ID],A9)</f>
        <v>6</v>
      </c>
      <c r="D9">
        <f>SUMIF(SalesData[Customer_ID],A9,SalesData[Total_Amount])</f>
        <v>8269.7900000000009</v>
      </c>
      <c r="E9">
        <f t="shared" si="0"/>
        <v>1378.2983333333334</v>
      </c>
      <c r="F9" s="24" t="str">
        <f t="shared" si="1"/>
        <v>High Value</v>
      </c>
    </row>
    <row r="10" spans="1:8">
      <c r="A10" s="23" t="str">
        <v>CUST017</v>
      </c>
      <c r="B10" t="str">
        <f>_xlfn.XLOOKUP(A10,SalesData[Customer_ID],SalesData[Customer_Name],"")</f>
        <v>Charles Allen</v>
      </c>
      <c r="C10">
        <f>COUNTIF(SalesData[Customer_ID],A10)</f>
        <v>9</v>
      </c>
      <c r="D10">
        <f>SUMIF(SalesData[Customer_ID],A10,SalesData[Total_Amount])</f>
        <v>5089.7300000000005</v>
      </c>
      <c r="E10">
        <f t="shared" si="0"/>
        <v>565.52555555555557</v>
      </c>
      <c r="F10" s="24" t="str">
        <f t="shared" si="1"/>
        <v>High Value</v>
      </c>
    </row>
    <row r="11" spans="1:8">
      <c r="A11" s="23" t="str">
        <v>CUST009</v>
      </c>
      <c r="B11" t="str">
        <f>_xlfn.XLOOKUP(A11,SalesData[Customer_ID],SalesData[Customer_Name],"")</f>
        <v>Robert Thomas</v>
      </c>
      <c r="C11">
        <f>COUNTIF(SalesData[Customer_ID],A11)</f>
        <v>5</v>
      </c>
      <c r="D11">
        <f>SUMIF(SalesData[Customer_ID],A11,SalesData[Total_Amount])</f>
        <v>3509.8999999999996</v>
      </c>
      <c r="E11">
        <f t="shared" si="0"/>
        <v>701.9799999999999</v>
      </c>
      <c r="F11" s="24" t="str">
        <f t="shared" si="1"/>
        <v>Medium Value</v>
      </c>
    </row>
    <row r="12" spans="1:8">
      <c r="A12" s="23" t="str">
        <v>CUST026</v>
      </c>
      <c r="B12" t="str">
        <f>_xlfn.XLOOKUP(A12,SalesData[Customer_ID],SalesData[Customer_Name],"")</f>
        <v>Karen Hill</v>
      </c>
      <c r="C12">
        <f>COUNTIF(SalesData[Customer_ID],A12)</f>
        <v>8</v>
      </c>
      <c r="D12">
        <f>SUMIF(SalesData[Customer_ID],A12,SalesData[Total_Amount])</f>
        <v>8009.7699999999995</v>
      </c>
      <c r="E12">
        <f t="shared" si="0"/>
        <v>1001.2212499999999</v>
      </c>
      <c r="F12" s="24" t="str">
        <f t="shared" si="1"/>
        <v>High Value</v>
      </c>
    </row>
    <row r="13" spans="1:8">
      <c r="A13" s="23" t="str">
        <v>CUST022</v>
      </c>
      <c r="B13" t="str">
        <f>_xlfn.XLOOKUP(A13,SalesData[Customer_ID],SalesData[Customer_Name],"")</f>
        <v>Susan Green</v>
      </c>
      <c r="C13">
        <f>COUNTIF(SalesData[Customer_ID],A13)</f>
        <v>4</v>
      </c>
      <c r="D13">
        <f>SUMIF(SalesData[Customer_ID],A13,SalesData[Total_Amount])</f>
        <v>1979.89</v>
      </c>
      <c r="E13">
        <f t="shared" si="0"/>
        <v>494.97250000000003</v>
      </c>
      <c r="F13" s="24" t="str">
        <f t="shared" si="1"/>
        <v>Regular</v>
      </c>
    </row>
    <row r="14" spans="1:8">
      <c r="A14" s="23" t="str">
        <v>CUST041</v>
      </c>
      <c r="B14" t="str">
        <f>_xlfn.XLOOKUP(A14,SalesData[Customer_ID],SalesData[Customer_Name],"")</f>
        <v>Peter Richardson</v>
      </c>
      <c r="C14">
        <f>COUNTIF(SalesData[Customer_ID],A14)</f>
        <v>5</v>
      </c>
      <c r="D14">
        <f>SUMIF(SalesData[Customer_ID],A14,SalesData[Total_Amount])</f>
        <v>5949.85</v>
      </c>
      <c r="E14">
        <f t="shared" si="0"/>
        <v>1189.97</v>
      </c>
      <c r="F14" s="24" t="str">
        <f t="shared" si="1"/>
        <v>High Value</v>
      </c>
    </row>
    <row r="15" spans="1:8">
      <c r="A15" s="23" t="str">
        <v>CUST043</v>
      </c>
      <c r="B15" t="str">
        <f>_xlfn.XLOOKUP(A15,SalesData[Customer_ID],SalesData[Customer_Name],"")</f>
        <v>Dennis Gray</v>
      </c>
      <c r="C15">
        <f>COUNTIF(SalesData[Customer_ID],A15)</f>
        <v>2</v>
      </c>
      <c r="D15">
        <f>SUMIF(SalesData[Customer_ID],A15,SalesData[Total_Amount])</f>
        <v>479.91999999999996</v>
      </c>
      <c r="E15">
        <f t="shared" si="0"/>
        <v>239.95999999999998</v>
      </c>
      <c r="F15" s="24" t="str">
        <f t="shared" si="1"/>
        <v>Regular</v>
      </c>
    </row>
    <row r="16" spans="1:8">
      <c r="A16" s="23" t="str">
        <v>CUST038</v>
      </c>
      <c r="B16" t="str">
        <f>_xlfn.XLOOKUP(A16,SalesData[Customer_ID],SalesData[Customer_Name],"")</f>
        <v>Michelle Rogers</v>
      </c>
      <c r="C16">
        <f>COUNTIF(SalesData[Customer_ID],A16)</f>
        <v>2</v>
      </c>
      <c r="D16">
        <f>SUMIF(SalesData[Customer_ID],A16,SalesData[Total_Amount])</f>
        <v>4199.9399999999996</v>
      </c>
      <c r="E16">
        <f t="shared" si="0"/>
        <v>2099.9699999999998</v>
      </c>
      <c r="F16" s="24" t="str">
        <f t="shared" si="1"/>
        <v>Medium Value</v>
      </c>
    </row>
    <row r="17" spans="1:6">
      <c r="A17" s="23" t="str">
        <v>CUST027</v>
      </c>
      <c r="B17" t="str">
        <f>_xlfn.XLOOKUP(A17,SalesData[Customer_ID],SalesData[Customer_Name],"")</f>
        <v>George Adams</v>
      </c>
      <c r="C17">
        <f>COUNTIF(SalesData[Customer_ID],A17)</f>
        <v>3</v>
      </c>
      <c r="D17">
        <f>SUMIF(SalesData[Customer_ID],A17,SalesData[Total_Amount])</f>
        <v>3779.93</v>
      </c>
      <c r="E17">
        <f t="shared" si="0"/>
        <v>1259.9766666666667</v>
      </c>
      <c r="F17" s="24" t="str">
        <f t="shared" si="1"/>
        <v>Medium Value</v>
      </c>
    </row>
    <row r="18" spans="1:6">
      <c r="A18" s="23" t="str">
        <v>CUST025</v>
      </c>
      <c r="B18" t="str">
        <f>_xlfn.XLOOKUP(A18,SalesData[Customer_ID],SalesData[Customer_Name],"")</f>
        <v>Mark Carter</v>
      </c>
      <c r="C18">
        <f>COUNTIF(SalesData[Customer_ID],A18)</f>
        <v>12</v>
      </c>
      <c r="D18">
        <f>SUMIF(SalesData[Customer_ID],A18,SalesData[Total_Amount])</f>
        <v>15659.65</v>
      </c>
      <c r="E18">
        <f t="shared" si="0"/>
        <v>1304.9708333333333</v>
      </c>
      <c r="F18" s="24" t="str">
        <f t="shared" si="1"/>
        <v>High Value</v>
      </c>
    </row>
    <row r="19" spans="1:6">
      <c r="A19" s="23" t="str">
        <v>CUST010</v>
      </c>
      <c r="B19" t="str">
        <f>_xlfn.XLOOKUP(A19,SalesData[Customer_ID],SalesData[Customer_Name],"")</f>
        <v>Maria Garcia</v>
      </c>
      <c r="C19">
        <f>COUNTIF(SalesData[Customer_ID],A19)</f>
        <v>4</v>
      </c>
      <c r="D19">
        <f>SUMIF(SalesData[Customer_ID],A19,SalesData[Total_Amount])</f>
        <v>1909.93</v>
      </c>
      <c r="E19">
        <f t="shared" si="0"/>
        <v>477.48250000000002</v>
      </c>
      <c r="F19" s="24" t="str">
        <f t="shared" si="1"/>
        <v>Regular</v>
      </c>
    </row>
    <row r="20" spans="1:6">
      <c r="A20" s="23" t="str">
        <v>CUST048</v>
      </c>
      <c r="B20" t="str">
        <f>_xlfn.XLOOKUP(A20,SalesData[Customer_ID],SalesData[Customer_Name],"")</f>
        <v>Virginia Sanders</v>
      </c>
      <c r="C20">
        <f>COUNTIF(SalesData[Customer_ID],A20)</f>
        <v>6</v>
      </c>
      <c r="D20">
        <f>SUMIF(SalesData[Customer_ID],A20,SalesData[Total_Amount])</f>
        <v>4789.7900000000009</v>
      </c>
      <c r="E20">
        <f t="shared" si="0"/>
        <v>798.29833333333352</v>
      </c>
      <c r="F20" s="24" t="str">
        <f t="shared" si="1"/>
        <v>Medium Value</v>
      </c>
    </row>
    <row r="21" spans="1:6">
      <c r="A21" s="23" t="str">
        <v>CUST018</v>
      </c>
      <c r="B21" t="str">
        <f>_xlfn.XLOOKUP(A21,SalesData[Customer_ID],SalesData[Customer_Name],"")</f>
        <v>Barbara Young</v>
      </c>
      <c r="C21">
        <f>COUNTIF(SalesData[Customer_ID],A21)</f>
        <v>5</v>
      </c>
      <c r="D21">
        <f>SUMIF(SalesData[Customer_ID],A21,SalesData[Total_Amount])</f>
        <v>10649.8</v>
      </c>
      <c r="E21">
        <f t="shared" si="0"/>
        <v>2129.96</v>
      </c>
      <c r="F21" s="24" t="str">
        <f t="shared" si="1"/>
        <v>High Value</v>
      </c>
    </row>
    <row r="22" spans="1:6">
      <c r="A22" s="23" t="str">
        <v>CUST012</v>
      </c>
      <c r="B22" t="str">
        <f>_xlfn.XLOOKUP(A22,SalesData[Customer_ID],SalesData[Customer_Name],"")</f>
        <v>Patricia Moore</v>
      </c>
      <c r="C22">
        <f>COUNTIF(SalesData[Customer_ID],A22)</f>
        <v>8</v>
      </c>
      <c r="D22">
        <f>SUMIF(SalesData[Customer_ID],A22,SalesData[Total_Amount])</f>
        <v>9799.73</v>
      </c>
      <c r="E22">
        <f t="shared" si="0"/>
        <v>1224.9662499999999</v>
      </c>
      <c r="F22" s="24" t="str">
        <f t="shared" si="1"/>
        <v>High Value</v>
      </c>
    </row>
    <row r="23" spans="1:6">
      <c r="A23" s="23" t="str">
        <v>CUST044</v>
      </c>
      <c r="B23" t="str">
        <f>_xlfn.XLOOKUP(A23,SalesData[Customer_ID],SalesData[Customer_Name],"")</f>
        <v>Cynthia Price</v>
      </c>
      <c r="C23">
        <f>COUNTIF(SalesData[Customer_ID],A23)</f>
        <v>5</v>
      </c>
      <c r="D23">
        <f>SUMIF(SalesData[Customer_ID],A23,SalesData[Total_Amount])</f>
        <v>3769.8300000000004</v>
      </c>
      <c r="E23">
        <f t="shared" si="0"/>
        <v>753.96600000000012</v>
      </c>
      <c r="F23" s="24" t="str">
        <f t="shared" si="1"/>
        <v>Medium Value</v>
      </c>
    </row>
    <row r="24" spans="1:6">
      <c r="A24" s="23" t="str">
        <v>CUST036</v>
      </c>
      <c r="B24" t="str">
        <f>_xlfn.XLOOKUP(A24,SalesData[Customer_ID],SalesData[Customer_Name],"")</f>
        <v>Nancy Collins</v>
      </c>
      <c r="C24">
        <f>COUNTIF(SalesData[Customer_ID],A24)</f>
        <v>6</v>
      </c>
      <c r="D24">
        <f>SUMIF(SalesData[Customer_ID],A24,SalesData[Total_Amount])</f>
        <v>4189.7700000000004</v>
      </c>
      <c r="E24">
        <f t="shared" si="0"/>
        <v>698.29500000000007</v>
      </c>
      <c r="F24" s="24" t="str">
        <f t="shared" si="1"/>
        <v>Medium Value</v>
      </c>
    </row>
    <row r="25" spans="1:6">
      <c r="A25" s="23" t="str">
        <v>CUST014</v>
      </c>
      <c r="B25" t="str">
        <f>_xlfn.XLOOKUP(A25,SalesData[Customer_ID],SalesData[Customer_Name],"")</f>
        <v>Linda Martin</v>
      </c>
      <c r="C25">
        <f>COUNTIF(SalesData[Customer_ID],A25)</f>
        <v>4</v>
      </c>
      <c r="D25">
        <f>SUMIF(SalesData[Customer_ID],A25,SalesData[Total_Amount])</f>
        <v>1289.9000000000001</v>
      </c>
      <c r="E25">
        <f t="shared" si="0"/>
        <v>322.47500000000002</v>
      </c>
      <c r="F25" s="24" t="str">
        <f t="shared" si="1"/>
        <v>Regular</v>
      </c>
    </row>
    <row r="26" spans="1:6">
      <c r="A26" s="23" t="str">
        <v>CUST030</v>
      </c>
      <c r="B26" t="str">
        <f>_xlfn.XLOOKUP(A26,SalesData[Customer_ID],SalesData[Customer_Name],"")</f>
        <v>Helen Roberts</v>
      </c>
      <c r="C26">
        <f>COUNTIF(SalesData[Customer_ID],A26)</f>
        <v>7</v>
      </c>
      <c r="D26">
        <f>SUMIF(SalesData[Customer_ID],A26,SalesData[Total_Amount])</f>
        <v>6459.79</v>
      </c>
      <c r="E26">
        <f t="shared" si="0"/>
        <v>922.8271428571428</v>
      </c>
      <c r="F26" s="24" t="str">
        <f t="shared" si="1"/>
        <v>High Value</v>
      </c>
    </row>
    <row r="27" spans="1:6">
      <c r="A27" s="23" t="str">
        <v>CUST029</v>
      </c>
      <c r="B27" t="str">
        <f>_xlfn.XLOOKUP(A27,SalesData[Customer_ID],SalesData[Customer_Name],"")</f>
        <v>Edward Mitchell</v>
      </c>
      <c r="C27">
        <f>COUNTIF(SalesData[Customer_ID],A27)</f>
        <v>6</v>
      </c>
      <c r="D27">
        <f>SUMIF(SalesData[Customer_ID],A27,SalesData[Total_Amount])</f>
        <v>11919.769999999999</v>
      </c>
      <c r="E27">
        <f t="shared" si="0"/>
        <v>1986.6283333333331</v>
      </c>
      <c r="F27" s="24" t="str">
        <f t="shared" si="1"/>
        <v>High Value</v>
      </c>
    </row>
    <row r="28" spans="1:6">
      <c r="A28" s="23" t="str">
        <v>CUST006</v>
      </c>
      <c r="B28" t="str">
        <f>_xlfn.XLOOKUP(A28,SalesData[Customer_ID],SalesData[Customer_Name],"")</f>
        <v>Lisa Anderson</v>
      </c>
      <c r="C28">
        <f>COUNTIF(SalesData[Customer_ID],A28)</f>
        <v>5</v>
      </c>
      <c r="D28">
        <f>SUMIF(SalesData[Customer_ID],A28,SalesData[Total_Amount])</f>
        <v>2039.8000000000002</v>
      </c>
      <c r="E28">
        <f t="shared" si="0"/>
        <v>407.96000000000004</v>
      </c>
      <c r="F28" s="24" t="str">
        <f t="shared" si="1"/>
        <v>Regular</v>
      </c>
    </row>
    <row r="29" spans="1:6">
      <c r="A29" s="23" t="str">
        <v>CUST002</v>
      </c>
      <c r="B29" t="str">
        <f>_xlfn.XLOOKUP(A29,SalesData[Customer_ID],SalesData[Customer_Name],"")</f>
        <v>Emma Wilson</v>
      </c>
      <c r="C29">
        <f>COUNTIF(SalesData[Customer_ID],A29)</f>
        <v>5</v>
      </c>
      <c r="D29">
        <f>SUMIF(SalesData[Customer_ID],A29,SalesData[Total_Amount])</f>
        <v>1229.8800000000001</v>
      </c>
      <c r="E29">
        <f t="shared" si="0"/>
        <v>245.97600000000003</v>
      </c>
      <c r="F29" s="24" t="str">
        <f t="shared" si="1"/>
        <v>Regular</v>
      </c>
    </row>
    <row r="30" spans="1:6">
      <c r="A30" s="23" t="str">
        <v>CUST031</v>
      </c>
      <c r="B30" t="str">
        <f>_xlfn.XLOOKUP(A30,SalesData[Customer_ID],SalesData[Customer_Name],"")</f>
        <v>Steven Turner</v>
      </c>
      <c r="C30">
        <f>COUNTIF(SalesData[Customer_ID],A30)</f>
        <v>6</v>
      </c>
      <c r="D30">
        <f>SUMIF(SalesData[Customer_ID],A30,SalesData[Total_Amount])</f>
        <v>2649.83</v>
      </c>
      <c r="E30">
        <f t="shared" si="0"/>
        <v>441.63833333333332</v>
      </c>
      <c r="F30" s="24" t="str">
        <f t="shared" si="1"/>
        <v>Medium Value</v>
      </c>
    </row>
    <row r="31" spans="1:6">
      <c r="A31" s="23" t="str">
        <v>CUST008</v>
      </c>
      <c r="B31" t="str">
        <f>_xlfn.XLOOKUP(A31,SalesData[Customer_ID],SalesData[Customer_Name],"")</f>
        <v>Jennifer Taylor</v>
      </c>
      <c r="C31">
        <f>COUNTIF(SalesData[Customer_ID],A31)</f>
        <v>4</v>
      </c>
      <c r="D31">
        <f>SUMIF(SalesData[Customer_ID],A31,SalesData[Total_Amount])</f>
        <v>4739.8500000000004</v>
      </c>
      <c r="E31">
        <f t="shared" si="0"/>
        <v>1184.9625000000001</v>
      </c>
      <c r="F31" s="24" t="str">
        <f t="shared" si="1"/>
        <v>Medium Value</v>
      </c>
    </row>
    <row r="32" spans="1:6">
      <c r="A32" s="23" t="str">
        <v>CUST035</v>
      </c>
      <c r="B32" t="str">
        <f>_xlfn.XLOOKUP(A32,SalesData[Customer_ID],SalesData[Customer_Name],"")</f>
        <v>Harry Morgan</v>
      </c>
      <c r="C32">
        <f>COUNTIF(SalesData[Customer_ID],A32)</f>
        <v>4</v>
      </c>
      <c r="D32">
        <f>SUMIF(SalesData[Customer_ID],A32,SalesData[Total_Amount])</f>
        <v>5519.8899999999994</v>
      </c>
      <c r="E32">
        <f t="shared" si="0"/>
        <v>1379.9724999999999</v>
      </c>
      <c r="F32" s="24" t="str">
        <f t="shared" si="1"/>
        <v>High Value</v>
      </c>
    </row>
    <row r="33" spans="1:6">
      <c r="A33" s="23" t="str">
        <v>CUST019</v>
      </c>
      <c r="B33" t="str">
        <f>_xlfn.XLOOKUP(A33,SalesData[Customer_ID],SalesData[Customer_Name],"")</f>
        <v>Daniel King</v>
      </c>
      <c r="C33">
        <f>COUNTIF(SalesData[Customer_ID],A33)</f>
        <v>7</v>
      </c>
      <c r="D33">
        <f>SUMIF(SalesData[Customer_ID],A33,SalesData[Total_Amount])</f>
        <v>7309.7999999999993</v>
      </c>
      <c r="E33">
        <f t="shared" si="0"/>
        <v>1044.2571428571428</v>
      </c>
      <c r="F33" s="24" t="str">
        <f t="shared" si="1"/>
        <v>High Value</v>
      </c>
    </row>
    <row r="34" spans="1:6">
      <c r="A34" s="23" t="str">
        <v>CUST040</v>
      </c>
      <c r="B34" t="str">
        <f>_xlfn.XLOOKUP(A34,SalesData[Customer_ID],SalesData[Customer_Name],"")</f>
        <v>Sharon Butler</v>
      </c>
      <c r="C34">
        <f>COUNTIF(SalesData[Customer_ID],A34)</f>
        <v>6</v>
      </c>
      <c r="D34">
        <f>SUMIF(SalesData[Customer_ID],A34,SalesData[Total_Amount])</f>
        <v>5619.869999999999</v>
      </c>
      <c r="E34">
        <f t="shared" si="0"/>
        <v>936.64499999999987</v>
      </c>
      <c r="F34" s="24" t="str">
        <f t="shared" si="1"/>
        <v>High Value</v>
      </c>
    </row>
    <row r="35" spans="1:6">
      <c r="A35" s="23" t="str">
        <v>CUST004</v>
      </c>
      <c r="B35" t="str">
        <f>_xlfn.XLOOKUP(A35,SalesData[Customer_ID],SalesData[Customer_Name],"")</f>
        <v>Sarah Davis</v>
      </c>
      <c r="C35">
        <f>COUNTIF(SalesData[Customer_ID],A35)</f>
        <v>5</v>
      </c>
      <c r="D35">
        <f>SUMIF(SalesData[Customer_ID],A35,SalesData[Total_Amount])</f>
        <v>5499.8099999999995</v>
      </c>
      <c r="E35">
        <f t="shared" si="0"/>
        <v>1099.962</v>
      </c>
      <c r="F35" s="24" t="str">
        <f t="shared" si="1"/>
        <v>High Value</v>
      </c>
    </row>
    <row r="36" spans="1:6">
      <c r="A36" s="23" t="str">
        <v>CUST028</v>
      </c>
      <c r="B36" t="str">
        <f>_xlfn.XLOOKUP(A36,SalesData[Customer_ID],SalesData[Customer_Name],"")</f>
        <v>Betty Campbell</v>
      </c>
      <c r="C36">
        <f>COUNTIF(SalesData[Customer_ID],A36)</f>
        <v>5</v>
      </c>
      <c r="D36">
        <f>SUMIF(SalesData[Customer_ID],A36,SalesData[Total_Amount])</f>
        <v>5649.84</v>
      </c>
      <c r="E36">
        <f t="shared" si="0"/>
        <v>1129.9680000000001</v>
      </c>
      <c r="F36" s="24" t="str">
        <f t="shared" si="1"/>
        <v>High Value</v>
      </c>
    </row>
    <row r="37" spans="1:6">
      <c r="A37" s="23" t="str">
        <v>CUST050</v>
      </c>
      <c r="B37" t="str">
        <f>_xlfn.XLOOKUP(A37,SalesData[Customer_ID],SalesData[Customer_Name],"")</f>
        <v>Julie Foster</v>
      </c>
      <c r="C37">
        <f>COUNTIF(SalesData[Customer_ID],A37)</f>
        <v>1</v>
      </c>
      <c r="D37">
        <f>SUMIF(SalesData[Customer_ID],A37,SalesData[Total_Amount])</f>
        <v>239.96</v>
      </c>
      <c r="E37">
        <f t="shared" si="0"/>
        <v>239.96</v>
      </c>
      <c r="F37" s="24" t="str">
        <f t="shared" si="1"/>
        <v>Regular</v>
      </c>
    </row>
    <row r="38" spans="1:6">
      <c r="A38" s="23" t="str">
        <v>CUST049</v>
      </c>
      <c r="B38" t="str">
        <f>_xlfn.XLOOKUP(A38,SalesData[Customer_ID],SalesData[Customer_Name],"")</f>
        <v>Raymond Ross</v>
      </c>
      <c r="C38">
        <f>COUNTIF(SalesData[Customer_ID],A38)</f>
        <v>4</v>
      </c>
      <c r="D38">
        <f>SUMIF(SalesData[Customer_ID],A38,SalesData[Total_Amount])</f>
        <v>3669.8500000000004</v>
      </c>
      <c r="E38">
        <f t="shared" si="0"/>
        <v>917.46250000000009</v>
      </c>
      <c r="F38" s="24" t="str">
        <f t="shared" si="1"/>
        <v>Medium Value</v>
      </c>
    </row>
    <row r="39" spans="1:6">
      <c r="A39" s="23" t="str">
        <v>CUST007</v>
      </c>
      <c r="B39" t="str">
        <f>_xlfn.XLOOKUP(A39,SalesData[Customer_ID],SalesData[Customer_Name],"")</f>
        <v>David Martinez</v>
      </c>
      <c r="C39">
        <f>COUNTIF(SalesData[Customer_ID],A39)</f>
        <v>6</v>
      </c>
      <c r="D39">
        <f>SUMIF(SalesData[Customer_ID],A39,SalesData[Total_Amount])</f>
        <v>1809.84</v>
      </c>
      <c r="E39">
        <f t="shared" si="0"/>
        <v>301.64</v>
      </c>
      <c r="F39" s="24" t="str">
        <f t="shared" si="1"/>
        <v>Regular</v>
      </c>
    </row>
    <row r="40" spans="1:6">
      <c r="A40" s="23" t="str">
        <v>CUST020</v>
      </c>
      <c r="B40" t="str">
        <f>_xlfn.XLOOKUP(A40,SalesData[Customer_ID],SalesData[Customer_Name],"")</f>
        <v>Margaret Wright</v>
      </c>
      <c r="C40">
        <f>COUNTIF(SalesData[Customer_ID],A40)</f>
        <v>4</v>
      </c>
      <c r="D40">
        <f>SUMIF(SalesData[Customer_ID],A40,SalesData[Total_Amount])</f>
        <v>2099.88</v>
      </c>
      <c r="E40">
        <f t="shared" si="0"/>
        <v>524.97</v>
      </c>
      <c r="F40" s="24" t="str">
        <f t="shared" si="1"/>
        <v>Regular</v>
      </c>
    </row>
    <row r="41" spans="1:6">
      <c r="A41" s="23" t="str">
        <v>CUST033</v>
      </c>
      <c r="B41" t="str">
        <f>_xlfn.XLOOKUP(A41,SalesData[Customer_ID],SalesData[Customer_Name],"")</f>
        <v>Frank Torres</v>
      </c>
      <c r="C41">
        <f>COUNTIF(SalesData[Customer_ID],A41)</f>
        <v>5</v>
      </c>
      <c r="D41">
        <f>SUMIF(SalesData[Customer_ID],A41,SalesData[Total_Amount])</f>
        <v>1479.91</v>
      </c>
      <c r="E41">
        <f t="shared" si="0"/>
        <v>295.98200000000003</v>
      </c>
      <c r="F41" s="24" t="str">
        <f t="shared" si="1"/>
        <v>Regular</v>
      </c>
    </row>
    <row r="42" spans="1:6">
      <c r="A42" s="23" t="str">
        <v>CUST047</v>
      </c>
      <c r="B42" t="str">
        <f>_xlfn.XLOOKUP(A42,SalesData[Customer_ID],SalesData[Customer_Name],"")</f>
        <v>Gerald Murphy</v>
      </c>
      <c r="C42">
        <f>COUNTIF(SalesData[Customer_ID],A42)</f>
        <v>4</v>
      </c>
      <c r="D42">
        <f>SUMIF(SalesData[Customer_ID],A42,SalesData[Total_Amount])</f>
        <v>6379.87</v>
      </c>
      <c r="E42">
        <f t="shared" si="0"/>
        <v>1594.9675</v>
      </c>
      <c r="F42" s="24" t="str">
        <f t="shared" si="1"/>
        <v>High Value</v>
      </c>
    </row>
    <row r="43" spans="1:6">
      <c r="A43" s="23" t="str">
        <v>CUST016</v>
      </c>
      <c r="B43" t="str">
        <f>_xlfn.XLOOKUP(A43,SalesData[Customer_ID],SalesData[Customer_Name],"")</f>
        <v>Elizabeth Hall</v>
      </c>
      <c r="C43">
        <f>COUNTIF(SalesData[Customer_ID],A43)</f>
        <v>4</v>
      </c>
      <c r="D43">
        <f>SUMIF(SalesData[Customer_ID],A43,SalesData[Total_Amount])</f>
        <v>3649.8599999999997</v>
      </c>
      <c r="E43">
        <f t="shared" si="0"/>
        <v>912.46499999999992</v>
      </c>
      <c r="F43" s="24" t="str">
        <f t="shared" si="1"/>
        <v>Medium Value</v>
      </c>
    </row>
    <row r="44" spans="1:6">
      <c r="A44" s="23" t="str">
        <v>CUST039</v>
      </c>
      <c r="B44" t="str">
        <f>_xlfn.XLOOKUP(A44,SalesData[Customer_ID],SalesData[Customer_Name],"")</f>
        <v>Lawrence Reed</v>
      </c>
      <c r="C44">
        <f>COUNTIF(SalesData[Customer_ID],A44)</f>
        <v>8</v>
      </c>
      <c r="D44">
        <f>SUMIF(SalesData[Customer_ID],A44,SalesData[Total_Amount])</f>
        <v>6989.7699999999986</v>
      </c>
      <c r="E44">
        <f t="shared" si="0"/>
        <v>873.72124999999983</v>
      </c>
      <c r="F44" s="24" t="str">
        <f t="shared" si="1"/>
        <v>High Value</v>
      </c>
    </row>
    <row r="45" spans="1:6">
      <c r="A45" s="23" t="str">
        <v>CUST034</v>
      </c>
      <c r="B45" t="str">
        <f>_xlfn.XLOOKUP(A45,SalesData[Customer_ID],SalesData[Customer_Name],"")</f>
        <v>Carol Evans</v>
      </c>
      <c r="C45">
        <f>COUNTIF(SalesData[Customer_ID],A45)</f>
        <v>3</v>
      </c>
      <c r="D45">
        <f>SUMIF(SalesData[Customer_ID],A45,SalesData[Total_Amount])</f>
        <v>1149.93</v>
      </c>
      <c r="E45">
        <f t="shared" si="0"/>
        <v>383.31</v>
      </c>
      <c r="F45" s="24" t="str">
        <f t="shared" si="1"/>
        <v>Regular</v>
      </c>
    </row>
    <row r="46" spans="1:6">
      <c r="A46" s="23" t="str">
        <v>CUST032</v>
      </c>
      <c r="B46" t="str">
        <f>_xlfn.XLOOKUP(A46,SalesData[Customer_ID],SalesData[Customer_Name],"")</f>
        <v>Sandra Phillips</v>
      </c>
      <c r="C46">
        <f>COUNTIF(SalesData[Customer_ID],A46)</f>
        <v>5</v>
      </c>
      <c r="D46">
        <f>SUMIF(SalesData[Customer_ID],A46,SalesData[Total_Amount])</f>
        <v>6349.83</v>
      </c>
      <c r="E46">
        <f t="shared" si="0"/>
        <v>1269.9659999999999</v>
      </c>
      <c r="F46" s="24" t="str">
        <f t="shared" si="1"/>
        <v>High Value</v>
      </c>
    </row>
    <row r="47" spans="1:6">
      <c r="A47" s="23" t="str">
        <v>CUST042</v>
      </c>
      <c r="B47" t="str">
        <f>_xlfn.XLOOKUP(A47,SalesData[Customer_ID],SalesData[Customer_Name],"")</f>
        <v>Ruth Brooks</v>
      </c>
      <c r="C47">
        <f>COUNTIF(SalesData[Customer_ID],A47)</f>
        <v>3</v>
      </c>
      <c r="D47">
        <f>SUMIF(SalesData[Customer_ID],A47,SalesData[Total_Amount])</f>
        <v>1749.92</v>
      </c>
      <c r="E47">
        <f t="shared" si="0"/>
        <v>583.30666666666673</v>
      </c>
      <c r="F47" s="24" t="str">
        <f t="shared" si="1"/>
        <v>Regular</v>
      </c>
    </row>
    <row r="48" spans="1:6">
      <c r="A48" s="23" t="str">
        <v>CUST011</v>
      </c>
      <c r="B48" t="str">
        <f>_xlfn.XLOOKUP(A48,SalesData[Customer_ID],SalesData[Customer_Name],"")</f>
        <v>William White</v>
      </c>
      <c r="C48">
        <f>COUNTIF(SalesData[Customer_ID],A48)</f>
        <v>3</v>
      </c>
      <c r="D48">
        <f>SUMIF(SalesData[Customer_ID],A48,SalesData[Total_Amount])</f>
        <v>4749.91</v>
      </c>
      <c r="E48">
        <f t="shared" si="0"/>
        <v>1583.3033333333333</v>
      </c>
      <c r="F48" s="24" t="str">
        <f t="shared" si="1"/>
        <v>Medium Value</v>
      </c>
    </row>
    <row r="49" spans="1:6">
      <c r="A49" s="23" t="str">
        <v>CUST015</v>
      </c>
      <c r="B49" t="str">
        <f>_xlfn.XLOOKUP(A49,SalesData[Customer_ID],SalesData[Customer_Name],"")</f>
        <v>Richard Lee</v>
      </c>
      <c r="C49">
        <f>COUNTIF(SalesData[Customer_ID],A49)</f>
        <v>3</v>
      </c>
      <c r="D49">
        <f>SUMIF(SalesData[Customer_ID],A49,SalesData[Total_Amount])</f>
        <v>739.93000000000006</v>
      </c>
      <c r="E49">
        <f t="shared" si="0"/>
        <v>246.64333333333335</v>
      </c>
      <c r="F49" s="24" t="str">
        <f t="shared" si="1"/>
        <v>Regular</v>
      </c>
    </row>
    <row r="50" spans="1:6">
      <c r="A50" s="23" t="str">
        <v>CUST045</v>
      </c>
      <c r="B50" t="str">
        <f>_xlfn.XLOOKUP(A50,SalesData[Customer_ID],SalesData[Customer_Name],"")</f>
        <v>Douglas Watson</v>
      </c>
      <c r="C50">
        <f>COUNTIF(SalesData[Customer_ID],A50)</f>
        <v>4</v>
      </c>
      <c r="D50">
        <f>SUMIF(SalesData[Customer_ID],A50,SalesData[Total_Amount])</f>
        <v>4829.8899999999994</v>
      </c>
      <c r="E50">
        <f t="shared" si="0"/>
        <v>1207.4724999999999</v>
      </c>
      <c r="F50" s="24" t="str">
        <f t="shared" si="1"/>
        <v>Medium Value</v>
      </c>
    </row>
    <row r="51" spans="1:6">
      <c r="A51" s="23" t="str">
        <v>CUST005</v>
      </c>
      <c r="B51" t="str">
        <f>_xlfn.XLOOKUP(A51,SalesData[Customer_ID],SalesData[Customer_Name],"")</f>
        <v>James Johnson</v>
      </c>
      <c r="C51">
        <f>COUNTIF(SalesData[Customer_ID],A51)</f>
        <v>1</v>
      </c>
      <c r="D51">
        <f>SUMIF(SalesData[Customer_ID],A51,SalesData[Total_Amount])</f>
        <v>179.97</v>
      </c>
      <c r="E51">
        <f t="shared" si="0"/>
        <v>179.97</v>
      </c>
      <c r="F51" s="24" t="str">
        <f t="shared" si="1"/>
        <v>Regular</v>
      </c>
    </row>
    <row r="52" spans="1:6">
      <c r="A52" s="23" t="str">
        <v>CUST037</v>
      </c>
      <c r="B52" t="str">
        <f>_xlfn.XLOOKUP(A52,SalesData[Customer_ID],SalesData[Customer_Name],"")</f>
        <v>Arthur Edwards</v>
      </c>
      <c r="C52">
        <f>COUNTIF(SalesData[Customer_ID],A52)</f>
        <v>3</v>
      </c>
      <c r="D52">
        <f>SUMIF(SalesData[Customer_ID],A52,SalesData[Total_Amount])</f>
        <v>1559.94</v>
      </c>
      <c r="E52">
        <f t="shared" si="0"/>
        <v>519.98</v>
      </c>
      <c r="F52" s="24" t="str">
        <f t="shared" si="1"/>
        <v>Regular</v>
      </c>
    </row>
    <row r="53" spans="1:6" ht="18.600000000000001" thickBot="1">
      <c r="A53" s="25" t="str">
        <v>CUST001</v>
      </c>
      <c r="B53" s="55" t="str">
        <f>_xlfn.XLOOKUP(A53,SalesData[Customer_ID],SalesData[Customer_Name],"")</f>
        <v>John Smith</v>
      </c>
      <c r="C53" s="55">
        <f>COUNTIF(SalesData[Customer_ID],A53)</f>
        <v>1</v>
      </c>
      <c r="D53" s="55">
        <f>SUMIF(SalesData[Customer_ID],A53,SalesData[Total_Amount])</f>
        <v>599.96</v>
      </c>
      <c r="E53" s="55">
        <f t="shared" si="0"/>
        <v>599.96</v>
      </c>
      <c r="F53" s="26" t="str">
        <f t="shared" si="1"/>
        <v>Regular</v>
      </c>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38810-2532-4AF5-B9C4-BA65B0278213}">
  <sheetPr>
    <outlinePr summaryBelow="0"/>
  </sheetPr>
  <dimension ref="B1:G11"/>
  <sheetViews>
    <sheetView showGridLines="0" tabSelected="1" workbookViewId="0">
      <selection activeCell="C5" sqref="C5"/>
    </sheetView>
  </sheetViews>
  <sheetFormatPr defaultRowHeight="18" outlineLevelRow="1" outlineLevelCol="1"/>
  <cols>
    <col min="3" max="3" width="5.77734375" bestFit="1" customWidth="1"/>
    <col min="4" max="7" width="13.5546875" bestFit="1" customWidth="1" outlineLevel="1"/>
  </cols>
  <sheetData>
    <row r="1" spans="2:7" ht="18.600000000000001" thickBot="1"/>
    <row r="2" spans="2:7" ht="19.2">
      <c r="B2" s="95" t="s">
        <v>476</v>
      </c>
      <c r="C2" s="95"/>
      <c r="D2" s="100"/>
      <c r="E2" s="100"/>
      <c r="F2" s="100"/>
      <c r="G2" s="100"/>
    </row>
    <row r="3" spans="2:7" ht="19.2" collapsed="1">
      <c r="B3" s="94"/>
      <c r="C3" s="94"/>
      <c r="D3" s="101" t="s">
        <v>478</v>
      </c>
      <c r="E3" s="101" t="s">
        <v>472</v>
      </c>
      <c r="F3" s="101" t="s">
        <v>474</v>
      </c>
      <c r="G3" s="101" t="s">
        <v>475</v>
      </c>
    </row>
    <row r="4" spans="2:7" ht="24" hidden="1" outlineLevel="1">
      <c r="B4" s="97"/>
      <c r="C4" s="97"/>
      <c r="D4" s="92"/>
      <c r="E4" s="103" t="s">
        <v>473</v>
      </c>
      <c r="F4" s="103" t="s">
        <v>473</v>
      </c>
      <c r="G4" s="103" t="s">
        <v>473</v>
      </c>
    </row>
    <row r="5" spans="2:7">
      <c r="B5" s="98" t="s">
        <v>477</v>
      </c>
      <c r="C5" s="98"/>
      <c r="D5" s="96"/>
      <c r="E5" s="96"/>
      <c r="F5" s="96"/>
      <c r="G5" s="96"/>
    </row>
    <row r="6" spans="2:7" outlineLevel="1">
      <c r="B6" s="97"/>
      <c r="C6" s="97" t="s">
        <v>470</v>
      </c>
      <c r="D6" s="92">
        <v>100</v>
      </c>
      <c r="E6" s="102">
        <v>100</v>
      </c>
      <c r="F6" s="102">
        <v>150</v>
      </c>
      <c r="G6" s="102">
        <v>70</v>
      </c>
    </row>
    <row r="7" spans="2:7">
      <c r="B7" s="98" t="s">
        <v>479</v>
      </c>
      <c r="C7" s="98"/>
      <c r="D7" s="96"/>
      <c r="E7" s="96"/>
      <c r="F7" s="96"/>
      <c r="G7" s="96"/>
    </row>
    <row r="8" spans="2:7" ht="18.600000000000001" outlineLevel="1" thickBot="1">
      <c r="B8" s="99"/>
      <c r="C8" s="99" t="s">
        <v>471</v>
      </c>
      <c r="D8" s="93">
        <v>29667</v>
      </c>
      <c r="E8" s="93">
        <v>29667</v>
      </c>
      <c r="F8" s="93">
        <v>44500.5</v>
      </c>
      <c r="G8" s="93">
        <v>20766.900000000001</v>
      </c>
    </row>
    <row r="9" spans="2:7">
      <c r="B9" t="s">
        <v>480</v>
      </c>
    </row>
    <row r="10" spans="2:7">
      <c r="B10" t="s">
        <v>481</v>
      </c>
    </row>
    <row r="11" spans="2:7">
      <c r="B11"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BBAC8-B8E5-4E9D-984F-820782507F61}">
  <dimension ref="A1:B5"/>
  <sheetViews>
    <sheetView workbookViewId="0">
      <selection activeCell="B5" sqref="B5"/>
    </sheetView>
  </sheetViews>
  <sheetFormatPr defaultRowHeight="18"/>
  <cols>
    <col min="1" max="1" width="22" bestFit="1" customWidth="1"/>
  </cols>
  <sheetData>
    <row r="1" spans="1:2">
      <c r="A1" s="91" t="s">
        <v>469</v>
      </c>
      <c r="B1" s="91"/>
    </row>
    <row r="3" spans="1:2">
      <c r="A3" s="90" t="s">
        <v>430</v>
      </c>
      <c r="B3" s="90">
        <f>AVERAGE(SalesData[Unit_Price])</f>
        <v>296.67000000000007</v>
      </c>
    </row>
    <row r="4" spans="1:2">
      <c r="A4" s="90" t="s">
        <v>7</v>
      </c>
      <c r="B4" s="90">
        <v>100</v>
      </c>
    </row>
    <row r="5" spans="1:2">
      <c r="A5" s="90" t="s">
        <v>431</v>
      </c>
      <c r="B5" s="90">
        <f>B3*B4</f>
        <v>29667.000000000007</v>
      </c>
    </row>
  </sheetData>
  <scenarios current="0" show="0" sqref="B5">
    <scenario name="Base Case" locked="1" count="1" user="Krinal" comment="Created by Krinal on 11-09-2026">
      <inputCells r="B4" val="100"/>
    </scenario>
    <scenario name="High Sales" locked="1" count="1" user="Krinal" comment="Created by Krinal on 11-09-2026">
      <inputCells r="B4" val="150"/>
    </scenario>
    <scenario name="Low Sales" locked="1" count="1" user="Krinal" comment="Created by Krinal on 11-09-2026">
      <inputCells r="B4" val="70"/>
    </scenario>
  </scenarios>
  <mergeCells count="1">
    <mergeCell ref="A1:B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E039-2490-4B6D-9D37-8EC39146B01E}">
  <dimension ref="A1:I27"/>
  <sheetViews>
    <sheetView showGridLines="0" zoomScale="87" zoomScaleNormal="100" workbookViewId="0">
      <selection activeCell="N6" sqref="N6"/>
    </sheetView>
  </sheetViews>
  <sheetFormatPr defaultRowHeight="18"/>
  <cols>
    <col min="1" max="1" width="25.44140625" style="1" bestFit="1" customWidth="1"/>
    <col min="2" max="2" width="23.21875" style="1" bestFit="1" customWidth="1"/>
    <col min="3" max="3" width="8.88671875" style="1"/>
    <col min="4" max="4" width="14.6640625" style="1" bestFit="1" customWidth="1"/>
    <col min="5" max="6" width="23.21875" style="1" bestFit="1" customWidth="1"/>
    <col min="7" max="7" width="8.88671875" style="1"/>
    <col min="8" max="8" width="13" style="1" bestFit="1" customWidth="1"/>
    <col min="9" max="9" width="15.21875" style="1" bestFit="1" customWidth="1"/>
    <col min="10" max="16384" width="8.88671875" style="1"/>
  </cols>
  <sheetData>
    <row r="1" spans="1:9">
      <c r="A1" s="8" t="s">
        <v>10</v>
      </c>
      <c r="B1" s="1" t="s">
        <v>419</v>
      </c>
      <c r="D1" s="8" t="s">
        <v>417</v>
      </c>
      <c r="E1" s="1" t="s">
        <v>435</v>
      </c>
      <c r="F1" s="1" t="s">
        <v>434</v>
      </c>
      <c r="H1" s="8" t="s">
        <v>438</v>
      </c>
      <c r="I1" s="1" t="s">
        <v>439</v>
      </c>
    </row>
    <row r="2" spans="1:9">
      <c r="A2" s="1" t="s">
        <v>40</v>
      </c>
      <c r="B2" s="1">
        <v>749.97</v>
      </c>
      <c r="D2" s="1" t="s">
        <v>18</v>
      </c>
      <c r="E2" s="1">
        <v>3</v>
      </c>
      <c r="F2" s="1">
        <v>749.97</v>
      </c>
      <c r="H2" s="1" t="s">
        <v>437</v>
      </c>
      <c r="I2" s="1">
        <v>749.97</v>
      </c>
    </row>
    <row r="3" spans="1:9">
      <c r="A3" s="1" t="s">
        <v>433</v>
      </c>
      <c r="B3" s="1">
        <v>749.97</v>
      </c>
      <c r="D3" s="1" t="s">
        <v>433</v>
      </c>
      <c r="E3" s="1">
        <v>3</v>
      </c>
      <c r="F3" s="1">
        <v>749.97</v>
      </c>
      <c r="H3" s="1" t="s">
        <v>433</v>
      </c>
      <c r="I3" s="1">
        <v>749.97</v>
      </c>
    </row>
    <row r="4" spans="1:9">
      <c r="A4"/>
      <c r="B4"/>
      <c r="D4"/>
      <c r="E4"/>
      <c r="F4"/>
      <c r="H4"/>
      <c r="I4"/>
    </row>
    <row r="5" spans="1:9">
      <c r="A5"/>
      <c r="B5"/>
      <c r="D5"/>
      <c r="E5"/>
      <c r="F5"/>
      <c r="H5"/>
      <c r="I5"/>
    </row>
    <row r="6" spans="1:9">
      <c r="A6"/>
      <c r="B6"/>
      <c r="D6"/>
      <c r="E6"/>
      <c r="F6"/>
      <c r="H6"/>
      <c r="I6"/>
    </row>
    <row r="7" spans="1:9">
      <c r="A7"/>
      <c r="B7"/>
      <c r="D7"/>
      <c r="E7"/>
      <c r="F7"/>
      <c r="H7"/>
      <c r="I7"/>
    </row>
    <row r="8" spans="1:9">
      <c r="D8"/>
      <c r="E8"/>
      <c r="F8"/>
      <c r="H8"/>
      <c r="I8"/>
    </row>
    <row r="9" spans="1:9">
      <c r="A9" s="8" t="s">
        <v>441</v>
      </c>
      <c r="B9" s="1" t="s">
        <v>434</v>
      </c>
      <c r="D9" s="6" t="s">
        <v>432</v>
      </c>
      <c r="E9" t="s">
        <v>434</v>
      </c>
      <c r="F9"/>
      <c r="H9"/>
      <c r="I9"/>
    </row>
    <row r="10" spans="1:9">
      <c r="A10" s="1" t="s">
        <v>19</v>
      </c>
      <c r="B10" s="1">
        <v>749.97</v>
      </c>
      <c r="D10" s="7" t="s">
        <v>436</v>
      </c>
      <c r="E10">
        <v>749.97</v>
      </c>
      <c r="F10"/>
      <c r="H10"/>
      <c r="I10"/>
    </row>
    <row r="11" spans="1:9">
      <c r="A11" s="1" t="s">
        <v>433</v>
      </c>
      <c r="B11" s="1">
        <v>749.97</v>
      </c>
      <c r="D11" s="7" t="s">
        <v>433</v>
      </c>
      <c r="E11">
        <v>749.97</v>
      </c>
      <c r="F11"/>
      <c r="H11"/>
      <c r="I11"/>
    </row>
    <row r="12" spans="1:9">
      <c r="A12"/>
      <c r="B12"/>
      <c r="D12"/>
      <c r="E12"/>
      <c r="F12"/>
      <c r="H12"/>
      <c r="I12"/>
    </row>
    <row r="13" spans="1:9">
      <c r="A13"/>
      <c r="B13"/>
      <c r="H13"/>
      <c r="I13"/>
    </row>
    <row r="14" spans="1:9">
      <c r="H14"/>
      <c r="I14"/>
    </row>
    <row r="15" spans="1:9">
      <c r="A15" s="8" t="s">
        <v>440</v>
      </c>
      <c r="B15" s="1" t="s">
        <v>434</v>
      </c>
    </row>
    <row r="16" spans="1:9">
      <c r="A16" s="1" t="s">
        <v>27</v>
      </c>
      <c r="B16" s="1">
        <v>749.97</v>
      </c>
    </row>
    <row r="17" spans="1:2">
      <c r="A17" s="1" t="s">
        <v>433</v>
      </c>
      <c r="B17" s="1">
        <v>749.97</v>
      </c>
    </row>
    <row r="18" spans="1:2">
      <c r="A18"/>
      <c r="B18"/>
    </row>
    <row r="19" spans="1:2">
      <c r="A19"/>
      <c r="B19"/>
    </row>
    <row r="20" spans="1:2">
      <c r="A20"/>
      <c r="B20"/>
    </row>
    <row r="21" spans="1:2">
      <c r="A21"/>
      <c r="B21"/>
    </row>
    <row r="23" spans="1:2">
      <c r="A23"/>
      <c r="B23"/>
    </row>
    <row r="24" spans="1:2">
      <c r="A24"/>
      <c r="B24"/>
    </row>
    <row r="25" spans="1:2">
      <c r="A25"/>
      <c r="B25"/>
    </row>
    <row r="26" spans="1:2">
      <c r="A26"/>
      <c r="B26"/>
    </row>
    <row r="27" spans="1:2">
      <c r="A27"/>
      <c r="B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0272-CB75-46E0-A9B9-52A539A606EE}">
  <dimension ref="A1"/>
  <sheetViews>
    <sheetView showGridLines="0" showRowColHeaders="0" zoomScale="56" workbookViewId="0">
      <selection activeCell="H39" sqref="H39"/>
    </sheetView>
  </sheetViews>
  <sheetFormatPr defaultRowHeight="18"/>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48B9-BF48-40F1-B4F6-AFE5FE025C6A}">
  <dimension ref="A1:X41"/>
  <sheetViews>
    <sheetView showGridLines="0" showRowColHeaders="0" zoomScale="60" zoomScaleNormal="56" workbookViewId="0">
      <selection activeCell="U20" sqref="U20"/>
    </sheetView>
  </sheetViews>
  <sheetFormatPr defaultRowHeight="18"/>
  <cols>
    <col min="1" max="1" width="12.44140625" style="1" customWidth="1"/>
    <col min="2" max="2" width="25.33203125" style="1" customWidth="1"/>
    <col min="3" max="3" width="4.44140625" style="1" customWidth="1"/>
    <col min="4" max="4" width="8.88671875" style="1"/>
    <col min="5" max="5" width="23.6640625" style="1" customWidth="1"/>
    <col min="6" max="6" width="4" style="1" customWidth="1"/>
    <col min="7" max="7" width="8.88671875" style="1"/>
    <col min="8" max="8" width="18.77734375" style="1" customWidth="1"/>
    <col min="9" max="9" width="4.109375" style="1" customWidth="1"/>
    <col min="10" max="10" width="8.88671875" style="1"/>
    <col min="11" max="11" width="25.21875" style="1" customWidth="1"/>
    <col min="12" max="12" width="8.88671875" style="1"/>
    <col min="13" max="13" width="8.88671875" style="1" customWidth="1"/>
    <col min="14" max="14" width="26.77734375" style="1" bestFit="1" customWidth="1"/>
    <col min="15" max="15" width="2.33203125" style="1" customWidth="1"/>
    <col min="16" max="16" width="33.21875" style="1" bestFit="1" customWidth="1"/>
    <col min="17" max="17" width="3.88671875" style="1" customWidth="1"/>
    <col min="18" max="18" width="27.6640625" style="1" hidden="1" customWidth="1"/>
    <col min="19" max="20" width="8.88671875" style="1" hidden="1" customWidth="1"/>
    <col min="21" max="21" width="2.109375" style="1" customWidth="1"/>
    <col min="22" max="22" width="3.21875" style="1" customWidth="1"/>
    <col min="23" max="16384" width="8.88671875" style="1"/>
  </cols>
  <sheetData>
    <row r="1" spans="1:24" ht="47.4" customHeight="1">
      <c r="A1" s="63" t="s">
        <v>445</v>
      </c>
      <c r="B1" s="64"/>
      <c r="C1" s="64"/>
      <c r="D1" s="64"/>
      <c r="E1" s="64"/>
      <c r="F1" s="64"/>
      <c r="G1" s="64"/>
      <c r="H1" s="64"/>
      <c r="I1" s="64"/>
      <c r="J1" s="64"/>
      <c r="K1" s="64"/>
      <c r="L1" s="64"/>
      <c r="M1" s="64"/>
      <c r="N1" s="64"/>
      <c r="O1" s="64"/>
      <c r="P1" s="64"/>
      <c r="Q1" s="64"/>
      <c r="R1" s="64"/>
      <c r="S1" s="64"/>
      <c r="T1" s="64"/>
      <c r="U1" s="64"/>
      <c r="V1" s="65"/>
      <c r="W1" s="16"/>
      <c r="X1" s="16"/>
    </row>
    <row r="2" spans="1:24" ht="14.4" customHeight="1">
      <c r="A2" s="66"/>
      <c r="B2" s="67"/>
      <c r="C2" s="67"/>
      <c r="D2" s="67"/>
      <c r="E2" s="67"/>
      <c r="F2" s="67"/>
      <c r="G2" s="67"/>
      <c r="H2" s="67"/>
      <c r="I2" s="67"/>
      <c r="J2" s="67"/>
      <c r="K2" s="67"/>
      <c r="L2" s="67"/>
      <c r="M2" s="67"/>
      <c r="N2" s="67"/>
      <c r="O2" s="67"/>
      <c r="P2" s="67"/>
      <c r="Q2" s="67"/>
      <c r="R2" s="67"/>
      <c r="S2" s="67"/>
      <c r="T2" s="67"/>
      <c r="U2" s="67"/>
      <c r="V2" s="68"/>
      <c r="W2" s="16"/>
      <c r="X2" s="16"/>
    </row>
    <row r="3" spans="1:24" ht="18.600000000000001" thickBot="1">
      <c r="A3" s="69"/>
      <c r="B3" s="70"/>
      <c r="C3" s="70"/>
      <c r="D3" s="70"/>
      <c r="E3" s="70"/>
      <c r="F3" s="70"/>
      <c r="G3" s="70"/>
      <c r="H3" s="70"/>
      <c r="I3" s="70"/>
      <c r="J3" s="70"/>
      <c r="K3" s="70"/>
      <c r="L3" s="70"/>
      <c r="M3" s="70"/>
      <c r="N3" s="70"/>
      <c r="O3" s="70"/>
      <c r="P3" s="70"/>
      <c r="Q3" s="70"/>
      <c r="R3" s="70"/>
      <c r="S3" s="70"/>
      <c r="T3" s="70"/>
      <c r="U3" s="70"/>
      <c r="V3" s="71"/>
      <c r="W3" s="16"/>
      <c r="X3" s="16"/>
    </row>
    <row r="4" spans="1:24" ht="18.600000000000001" thickBot="1">
      <c r="A4" s="18"/>
      <c r="V4" s="19"/>
    </row>
    <row r="5" spans="1:24">
      <c r="A5" s="18"/>
      <c r="N5" s="12" t="s">
        <v>465</v>
      </c>
      <c r="P5" s="11" t="s">
        <v>466</v>
      </c>
      <c r="V5" s="19"/>
    </row>
    <row r="6" spans="1:24" ht="18.600000000000001" thickBot="1">
      <c r="A6" s="18"/>
      <c r="N6" s="5">
        <f>SUM(SalesData[Total_Amount])</f>
        <v>229192.47000000032</v>
      </c>
      <c r="P6" s="5">
        <f>COUNTA(SalesData[Transaction_ID])</f>
        <v>250</v>
      </c>
      <c r="V6" s="19"/>
    </row>
    <row r="7" spans="1:24" ht="18.600000000000001" thickBot="1">
      <c r="A7" s="18"/>
      <c r="V7" s="19"/>
    </row>
    <row r="8" spans="1:24">
      <c r="A8" s="18"/>
      <c r="B8" s="17"/>
      <c r="E8" s="13"/>
      <c r="H8" s="14"/>
      <c r="K8" s="15"/>
      <c r="N8" s="10" t="s">
        <v>467</v>
      </c>
      <c r="P8" s="9" t="s">
        <v>468</v>
      </c>
      <c r="R8" s="12"/>
      <c r="V8" s="19"/>
    </row>
    <row r="9" spans="1:24" ht="18.600000000000001" thickBot="1">
      <c r="A9" s="18"/>
      <c r="N9" s="5">
        <f>SUM(SalesData[Quantity])</f>
        <v>753</v>
      </c>
      <c r="P9" s="5">
        <f>AVERAGE(SalesData[Total_Amount])</f>
        <v>916.76988000000131</v>
      </c>
      <c r="R9" s="5">
        <f>SUM(SalesData[Total_Amount])</f>
        <v>229192.47000000032</v>
      </c>
      <c r="V9" s="19"/>
    </row>
    <row r="10" spans="1:24">
      <c r="A10" s="18"/>
      <c r="V10" s="19"/>
    </row>
    <row r="11" spans="1:24">
      <c r="A11" s="18"/>
      <c r="V11" s="19"/>
    </row>
    <row r="12" spans="1:24">
      <c r="A12" s="18"/>
      <c r="V12" s="19"/>
    </row>
    <row r="13" spans="1:24" ht="18.600000000000001" thickBot="1">
      <c r="A13" s="18"/>
      <c r="V13" s="19"/>
    </row>
    <row r="14" spans="1:24">
      <c r="A14" s="18"/>
      <c r="R14" s="11" t="s">
        <v>442</v>
      </c>
      <c r="V14" s="19"/>
    </row>
    <row r="15" spans="1:24" ht="18.600000000000001" thickBot="1">
      <c r="A15" s="18"/>
      <c r="R15" s="5">
        <f>COUNTA(SalesData[Transaction_ID])</f>
        <v>250</v>
      </c>
      <c r="V15" s="19"/>
    </row>
    <row r="16" spans="1:24">
      <c r="A16" s="18"/>
      <c r="V16" s="19"/>
    </row>
    <row r="17" spans="1:22">
      <c r="A17" s="18"/>
      <c r="V17" s="19"/>
    </row>
    <row r="18" spans="1:22">
      <c r="A18" s="18"/>
      <c r="V18" s="19"/>
    </row>
    <row r="19" spans="1:22" ht="18.600000000000001" thickBot="1">
      <c r="A19" s="18"/>
      <c r="V19" s="19"/>
    </row>
    <row r="20" spans="1:22">
      <c r="A20" s="18"/>
      <c r="R20" s="10" t="s">
        <v>443</v>
      </c>
      <c r="V20" s="19"/>
    </row>
    <row r="21" spans="1:22" ht="18.600000000000001" thickBot="1">
      <c r="A21" s="18"/>
      <c r="R21" s="5">
        <f>SUM(SalesData[Quantity])</f>
        <v>753</v>
      </c>
      <c r="V21" s="19"/>
    </row>
    <row r="22" spans="1:22">
      <c r="A22" s="18"/>
      <c r="V22" s="19"/>
    </row>
    <row r="23" spans="1:22">
      <c r="A23" s="18"/>
      <c r="V23" s="19"/>
    </row>
    <row r="24" spans="1:22" ht="18.600000000000001" thickBot="1">
      <c r="A24" s="18"/>
      <c r="V24" s="19"/>
    </row>
    <row r="25" spans="1:22">
      <c r="A25" s="18"/>
      <c r="R25" s="9" t="s">
        <v>444</v>
      </c>
      <c r="V25" s="19"/>
    </row>
    <row r="26" spans="1:22" ht="18.600000000000001" thickBot="1">
      <c r="A26" s="18"/>
      <c r="R26" s="5">
        <f>AVERAGE(SalesData[Total_Amount])</f>
        <v>916.76988000000131</v>
      </c>
      <c r="V26" s="19"/>
    </row>
    <row r="27" spans="1:22">
      <c r="A27" s="18"/>
      <c r="V27" s="19"/>
    </row>
    <row r="28" spans="1:22">
      <c r="A28" s="18"/>
      <c r="V28" s="19"/>
    </row>
    <row r="29" spans="1:22">
      <c r="A29" s="18"/>
      <c r="V29" s="19"/>
    </row>
    <row r="30" spans="1:22">
      <c r="A30" s="18"/>
      <c r="V30" s="19"/>
    </row>
    <row r="31" spans="1:22">
      <c r="A31" s="18"/>
      <c r="V31" s="19"/>
    </row>
    <row r="32" spans="1:22">
      <c r="A32" s="18"/>
      <c r="V32" s="19"/>
    </row>
    <row r="33" spans="1:22">
      <c r="A33" s="18"/>
      <c r="V33" s="19"/>
    </row>
    <row r="34" spans="1:22">
      <c r="A34" s="18"/>
      <c r="V34" s="19"/>
    </row>
    <row r="35" spans="1:22">
      <c r="A35" s="18"/>
      <c r="V35" s="19"/>
    </row>
    <row r="36" spans="1:22">
      <c r="A36" s="18"/>
      <c r="V36" s="19"/>
    </row>
    <row r="37" spans="1:22">
      <c r="A37" s="18"/>
      <c r="V37" s="19"/>
    </row>
    <row r="38" spans="1:22">
      <c r="A38" s="18"/>
      <c r="V38" s="19"/>
    </row>
    <row r="39" spans="1:22">
      <c r="A39" s="18"/>
      <c r="V39" s="19"/>
    </row>
    <row r="40" spans="1:22">
      <c r="A40" s="18"/>
      <c r="V40" s="19"/>
    </row>
    <row r="41" spans="1:22" ht="18.600000000000001" thickBot="1">
      <c r="A41" s="20"/>
      <c r="B41" s="21"/>
      <c r="C41" s="21"/>
      <c r="D41" s="21"/>
      <c r="E41" s="21"/>
      <c r="F41" s="21"/>
      <c r="G41" s="21"/>
      <c r="H41" s="21"/>
      <c r="I41" s="21"/>
      <c r="J41" s="21"/>
      <c r="K41" s="21"/>
      <c r="L41" s="21"/>
      <c r="M41" s="21"/>
      <c r="N41" s="21"/>
      <c r="O41" s="21"/>
      <c r="P41" s="21"/>
      <c r="Q41" s="21"/>
      <c r="R41" s="21"/>
      <c r="S41" s="21"/>
      <c r="T41" s="21"/>
      <c r="U41" s="21"/>
      <c r="V41" s="22"/>
    </row>
  </sheetData>
  <mergeCells count="1">
    <mergeCell ref="A1:V3"/>
  </mergeCells>
  <conditionalFormatting sqref="B11">
    <cfRule type="iconSet" priority="1">
      <iconSet iconSet="3Arrows">
        <cfvo type="percent" val="0"/>
        <cfvo type="percent" val="33"/>
        <cfvo type="percent" val="67"/>
      </iconSet>
    </cfRule>
  </conditionalFormatting>
  <pageMargins left="0.70866141732283472" right="0.70866141732283472" top="0.74803149606299213" bottom="0.74803149606299213" header="0.31496062992125984" footer="0.31496062992125984"/>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DC3C4-03FB-446B-8930-C4ADE6BD4AA7}">
  <dimension ref="A1:B12"/>
  <sheetViews>
    <sheetView showGridLines="0" workbookViewId="0">
      <selection activeCell="E13" sqref="E13"/>
    </sheetView>
  </sheetViews>
  <sheetFormatPr defaultRowHeight="18"/>
  <cols>
    <col min="1" max="1" width="77.109375" bestFit="1" customWidth="1"/>
  </cols>
  <sheetData>
    <row r="1" spans="1:2" ht="19.2">
      <c r="A1" s="85" t="s">
        <v>446</v>
      </c>
      <c r="B1" s="85"/>
    </row>
    <row r="3" spans="1:2" ht="19.2">
      <c r="A3" s="89" t="s">
        <v>447</v>
      </c>
      <c r="B3" s="89"/>
    </row>
    <row r="4" spans="1:2" ht="18.600000000000001" thickBot="1"/>
    <row r="5" spans="1:2">
      <c r="A5" s="27" t="s">
        <v>401</v>
      </c>
      <c r="B5" s="28">
        <f>SUM(SalesData[Total_Amount])</f>
        <v>229192.47000000032</v>
      </c>
    </row>
    <row r="6" spans="1:2">
      <c r="A6" s="29" t="s">
        <v>402</v>
      </c>
      <c r="B6" s="30">
        <f>COUNTA(SalesData[Transaction_ID])</f>
        <v>250</v>
      </c>
    </row>
    <row r="7" spans="1:2">
      <c r="A7" s="29" t="s">
        <v>403</v>
      </c>
      <c r="B7" s="30">
        <f>SUM(SalesData[Quantity])</f>
        <v>753</v>
      </c>
    </row>
    <row r="8" spans="1:2" ht="18.600000000000001" thickBot="1">
      <c r="A8" s="31" t="s">
        <v>448</v>
      </c>
      <c r="B8" s="32">
        <f>AVERAGE(SalesData[Total_Amount])</f>
        <v>916.76988000000131</v>
      </c>
    </row>
    <row r="10" spans="1:2" ht="19.2">
      <c r="A10" s="88" t="s">
        <v>449</v>
      </c>
      <c r="B10" s="88"/>
    </row>
    <row r="11" spans="1:2" ht="18.600000000000001" thickBot="1"/>
    <row r="12" spans="1:2" ht="18.600000000000001" thickBot="1">
      <c r="A12" s="86" t="s">
        <v>450</v>
      </c>
      <c r="B12" s="87"/>
    </row>
  </sheetData>
  <mergeCells count="4">
    <mergeCell ref="A1:B1"/>
    <mergeCell ref="A12:B12"/>
    <mergeCell ref="A10:B10"/>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Analysis</vt:lpstr>
      <vt:lpstr>Customer Analysis</vt:lpstr>
      <vt:lpstr>Scenario Summary</vt:lpstr>
      <vt:lpstr>What-If &amp; Regression</vt:lpstr>
      <vt:lpstr>Pivot Analysis</vt:lpstr>
      <vt:lpstr>Visualizations</vt:lpstr>
      <vt:lpstr>Dashboard</vt:lpstr>
      <vt:lpstr>Final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KRINAL DHOLAKIYA</dc:creator>
  <cp:lastModifiedBy>KRINAL DHOLAKIYA</cp:lastModifiedBy>
  <dcterms:created xsi:type="dcterms:W3CDTF">2026-09-11T03:35:07Z</dcterms:created>
  <dcterms:modified xsi:type="dcterms:W3CDTF">2026-09-11T11:14:34Z</dcterms:modified>
</cp:coreProperties>
</file>